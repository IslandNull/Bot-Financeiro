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Lançamentos" sheetId="2" r:id="rId6"/>
    <sheet state="visible" name="Orçamento Mensal" sheetId="3" r:id="rId7"/>
    <sheet state="visible" name="Compras da Casa" sheetId="4" r:id="rId8"/>
    <sheet state="visible" name="Metas de Poupança" sheetId="5" r:id="rId9"/>
    <sheet state="visible" name="Config" sheetId="6" r:id="rId10"/>
  </sheets>
  <definedNames/>
  <calcPr/>
</workbook>
</file>

<file path=xl/sharedStrings.xml><?xml version="1.0" encoding="utf-8"?>
<sst xmlns="http://schemas.openxmlformats.org/spreadsheetml/2006/main" count="572" uniqueCount="344">
  <si>
    <t>DASHBOARD — VISÃO DO MÊS</t>
  </si>
  <si>
    <t>Mês analisado:</t>
  </si>
  <si>
    <t>(edite em Config!B6 para mudar o mês)</t>
  </si>
  <si>
    <t>Primeiro dia</t>
  </si>
  <si>
    <t>Último dia</t>
  </si>
  <si>
    <t>Resumo do Mês</t>
  </si>
  <si>
    <t>Indicador</t>
  </si>
  <si>
    <t>Planejado</t>
  </si>
  <si>
    <t>Realizado</t>
  </si>
  <si>
    <t>Saldo</t>
  </si>
  <si>
    <t>% Plan.</t>
  </si>
  <si>
    <t>Renda (entradas)</t>
  </si>
  <si>
    <t>Gastos totais</t>
  </si>
  <si>
    <t>Sobra real do mês</t>
  </si>
  <si>
    <t>Acerto do Mês — Quanto a Luana transfere pro Gustavo</t>
  </si>
  <si>
    <t>Luana recebeu (real)</t>
  </si>
  <si>
    <t>(-) Luana gastou no mês</t>
  </si>
  <si>
    <t>(-) Reserva pessoal Luana</t>
  </si>
  <si>
    <t>→ Transferência para Gustavo</t>
  </si>
  <si>
    <t>Obs.: a reserva pessoal é o quanto ela separa pra projetos dela antes de transferir. Edite em Config!B5. Se ela pagar a fatura dela direto, cada compra já entra como gasto dela.</t>
  </si>
  <si>
    <t>Gastos por Pagador</t>
  </si>
  <si>
    <t>Pagador</t>
  </si>
  <si>
    <t>Gasto no mês</t>
  </si>
  <si>
    <t>% do total</t>
  </si>
  <si>
    <t>Observação</t>
  </si>
  <si>
    <t>Gustavo</t>
  </si>
  <si>
    <t>Luana</t>
  </si>
  <si>
    <t>Planejado × Realizado por Categoria</t>
  </si>
  <si>
    <t>Grupo</t>
  </si>
  <si>
    <t>Categoria</t>
  </si>
  <si>
    <t>% Consumido</t>
  </si>
  <si>
    <t>Fixos</t>
  </si>
  <si>
    <t>Financ. Caixa</t>
  </si>
  <si>
    <t>Financ. Vasco</t>
  </si>
  <si>
    <t>Combustível moto</t>
  </si>
  <si>
    <t>Óleo moto (provisão)</t>
  </si>
  <si>
    <t>Uber Luana</t>
  </si>
  <si>
    <t>Alimentação</t>
  </si>
  <si>
    <t>Supermercado</t>
  </si>
  <si>
    <t>Feira</t>
  </si>
  <si>
    <t>Açougue/padaria</t>
  </si>
  <si>
    <t>Delivery</t>
  </si>
  <si>
    <t>Restaurante casal</t>
  </si>
  <si>
    <t>Padaria/café (semana)</t>
  </si>
  <si>
    <t>Lanches esporádicos</t>
  </si>
  <si>
    <t>Assinaturas</t>
  </si>
  <si>
    <t>Celular</t>
  </si>
  <si>
    <t>Internet</t>
  </si>
  <si>
    <t>Streaming</t>
  </si>
  <si>
    <t>Spotify</t>
  </si>
  <si>
    <t>Google One</t>
  </si>
  <si>
    <t>Casa</t>
  </si>
  <si>
    <t>Condomínio</t>
  </si>
  <si>
    <t>Luz</t>
  </si>
  <si>
    <t>Água</t>
  </si>
  <si>
    <t>Gás</t>
  </si>
  <si>
    <t>IPTU (provisão)</t>
  </si>
  <si>
    <t>Saúde</t>
  </si>
  <si>
    <t>Plano Unimed Gustavo</t>
  </si>
  <si>
    <t>Plano Amil Luana</t>
  </si>
  <si>
    <t>Coparticipação médica</t>
  </si>
  <si>
    <t>Farmácia</t>
  </si>
  <si>
    <t>Dentista</t>
  </si>
  <si>
    <t>Cuidado pessoal (semana)</t>
  </si>
  <si>
    <t>Lazer</t>
  </si>
  <si>
    <t>Roupas</t>
  </si>
  <si>
    <t>Peças íntimas</t>
  </si>
  <si>
    <t>Calçado</t>
  </si>
  <si>
    <t>Rolê casal</t>
  </si>
  <si>
    <t>Presentes</t>
  </si>
  <si>
    <t>Compras pequenas (Shopee/ML)</t>
  </si>
  <si>
    <t>Poupança</t>
  </si>
  <si>
    <t>Reserva emergência</t>
  </si>
  <si>
    <t>Reserva imprevistos</t>
  </si>
  <si>
    <t>Amortização extra</t>
  </si>
  <si>
    <t>Diversos</t>
  </si>
  <si>
    <t>Outros</t>
  </si>
  <si>
    <t>TOTAL</t>
  </si>
  <si>
    <t>LANÇAMENTOS — DIA A DIA</t>
  </si>
  <si>
    <t>💡 Dicas: Ctrl+; insere data de hoje • Categoria/Pagador/Fonte têm dropdown (toque e escolha) • 1 lançamento por gasto avulso, 1 por semana para "Miúdos" e "Cuidado pessoal"</t>
  </si>
  <si>
    <t>Data</t>
  </si>
  <si>
    <t>Tipo</t>
  </si>
  <si>
    <t>Valor</t>
  </si>
  <si>
    <t>Fonte</t>
  </si>
  <si>
    <t>Descrição</t>
  </si>
  <si>
    <t>Mcdonalds</t>
  </si>
  <si>
    <t>Despesa</t>
  </si>
  <si>
    <t>Outro</t>
  </si>
  <si>
    <t>ORÇAMENTO MENSAL — GUSTAVO &amp; LUANA</t>
  </si>
  <si>
    <t>RENDA MENSAL</t>
  </si>
  <si>
    <t>% da Renda</t>
  </si>
  <si>
    <t>Salário Gustavo (sem auxílios)</t>
  </si>
  <si>
    <t>Salário base (R$ 3.400 - R$ 1.200 aux combustível)</t>
  </si>
  <si>
    <t>Auxílio combustível Gustavo</t>
  </si>
  <si>
    <t>Recebido em folha, usado para moto + sobra livre</t>
  </si>
  <si>
    <t>VR/VA Gustavo (alimentação)</t>
  </si>
  <si>
    <t>MARCADO — apenas alimentação (cartão)</t>
  </si>
  <si>
    <t>Salário Luana</t>
  </si>
  <si>
    <t>Luana tem café e almoço grátis no trabalho</t>
  </si>
  <si>
    <t>RENDA TOTAL</t>
  </si>
  <si>
    <t>GASTOS FIXOS (obrigatórios)</t>
  </si>
  <si>
    <t>Financiamento Caixa (casa)</t>
  </si>
  <si>
    <t>Parcela atual — cresce pouco (TR baixa)</t>
  </si>
  <si>
    <t>Financiamento Vasco (entrada)</t>
  </si>
  <si>
    <t>Cresce ~R$ 12/mês (IPCA + 1% a.m.)</t>
  </si>
  <si>
    <t>Combustível moto Gustavo</t>
  </si>
  <si>
    <t>Gasolina mensal</t>
  </si>
  <si>
    <t>R$ 150 a cada 2 meses</t>
  </si>
  <si>
    <t>Uber Luana (trabalho)</t>
  </si>
  <si>
    <t>~R$ 10/dia ida, Gustavo busca à tarde</t>
  </si>
  <si>
    <t>TOTAL FIXOS</t>
  </si>
  <si>
    <t>ALIMENTAÇÃO</t>
  </si>
  <si>
    <t>Supermercado mensal</t>
  </si>
  <si>
    <t>Pago com VR/VA — fazer compra grande 1x/mês + reposição</t>
  </si>
  <si>
    <t>Feira (hortifruti)</t>
  </si>
  <si>
    <t>VR/VA — feira CEASA ou bairro (mais barato)</t>
  </si>
  <si>
    <t>VR/VA — açougue de bairro (20-30% mais barato)</t>
  </si>
  <si>
    <t>Padaria/café manhã fora</t>
  </si>
  <si>
    <t>VR/VA — limite combinado 2 pessoas</t>
  </si>
  <si>
    <t>Delivery planejado (1x/sem)</t>
  </si>
  <si>
    <t>⚠ CATEGORIA PROBLEMA — 1 pedido/semana</t>
  </si>
  <si>
    <t>Saída casal restaurante (1x/mês)</t>
  </si>
  <si>
    <t>⚠ 1 jantar caprichado por mês</t>
  </si>
  <si>
    <t>Lanches/cafeteria esporádicos</t>
  </si>
  <si>
    <t>⚠ Folga para imprevistos</t>
  </si>
  <si>
    <t>TOTAL ALIMENTAÇÃO</t>
  </si>
  <si>
    <t>ASSINATURAS E TECNOLOGIA</t>
  </si>
  <si>
    <t>Celular 2 linhas (plano controle)</t>
  </si>
  <si>
    <t>TIM/Vivo/Claro Controle ~25GB cada</t>
  </si>
  <si>
    <t>Internet fibra 200 Mbps (quando mudar)</t>
  </si>
  <si>
    <t>Suficiente para streaming + home office</t>
  </si>
  <si>
    <t>Streaming vídeo 1 principal + 1 rotativo</t>
  </si>
  <si>
    <t>Ex: Netflix fixo + Max/Prime/Disney alternando</t>
  </si>
  <si>
    <t>Spotify Duo (2 contas)</t>
  </si>
  <si>
    <t>Substituir se só 1 usa</t>
  </si>
  <si>
    <t>Google One 200GB (compartilhado)</t>
  </si>
  <si>
    <t>Backup de fotos e arquivos</t>
  </si>
  <si>
    <t>TOTAL ASSINATURAS</t>
  </si>
  <si>
    <t>CONTAS DA CASA (APÓS MUDANÇA)</t>
  </si>
  <si>
    <t>Condomínio Villaggio Blu</t>
  </si>
  <si>
    <t>Estimativa — confirmar em assembleia</t>
  </si>
  <si>
    <t>Casal, casa 54m², chuveiro a gás</t>
  </si>
  <si>
    <t>Água (rateada — sem medidor ind.)</t>
  </si>
  <si>
    <t>Ver Cláusula 6 item 8 do contrato</t>
  </si>
  <si>
    <t>Gás encanado</t>
  </si>
  <si>
    <t>Chuveiro + fogão + aquecedor</t>
  </si>
  <si>
    <t>IPTU (rateado mensalmente)</t>
  </si>
  <si>
    <t>Provisão — pagar ao Município anual</t>
  </si>
  <si>
    <t>TOTAL CASA</t>
  </si>
  <si>
    <t>SAÚDE E PESSOAL</t>
  </si>
  <si>
    <t>Plano Unimed Gustavo (empresa, coparticipação)</t>
  </si>
  <si>
    <t>Desconto em folha baixo + coparticip. por consulta/exame</t>
  </si>
  <si>
    <t>Plano Amil Luana (empresa, coparticipação)</t>
  </si>
  <si>
    <t>Coparticipações médicas (provisão)</t>
  </si>
  <si>
    <t>~2 consultas + exames pontuais entre os dois</t>
  </si>
  <si>
    <t>Farmácia / remédios rotina</t>
  </si>
  <si>
    <t>Anticoncepcional, vitaminas, analgésicos</t>
  </si>
  <si>
    <t>Dentista (provisão)</t>
  </si>
  <si>
    <t>Limpeza semestral ou plano odonto</t>
  </si>
  <si>
    <t>Cuidado pessoal (salão/barba/cosméticos)</t>
  </si>
  <si>
    <t>Salão mensal Luana + barba/cabelo Gustavo</t>
  </si>
  <si>
    <t>TOTAL SAÚDE/PESSOAL</t>
  </si>
  <si>
    <t>VESTUÁRIO, LAZER E DIVERSOS</t>
  </si>
  <si>
    <t>Roupas casuais e básicas (provisão)</t>
  </si>
  <si>
    <t>Compra só quando precisar — não por hábito</t>
  </si>
  <si>
    <t>Peças íntimas (provisão)</t>
  </si>
  <si>
    <t>Cueca, sutiã, meias — reposição periódica</t>
  </si>
  <si>
    <t>Calçado (provisão)</t>
  </si>
  <si>
    <t>2-3 pares/ano por pessoa — rodízio</t>
  </si>
  <si>
    <t>Rolê casal (cinema/bar/passeio)</t>
  </si>
  <si>
    <t>Sair juntos fora de restaurante</t>
  </si>
  <si>
    <t>Presentes (aniversários familia/amigos)</t>
  </si>
  <si>
    <t>Provisão — varia por mês</t>
  </si>
  <si>
    <t>⚠ Categoria dreno invisível — limitar</t>
  </si>
  <si>
    <t>TOTAL LAZER/DIVERSOS</t>
  </si>
  <si>
    <t>POUPANÇA E INVESTIMENTO</t>
  </si>
  <si>
    <t>Reserva emergência (CDB 115% CDI)</t>
  </si>
  <si>
    <t>INEGOCIÁVEL até juntar 6x custos = ~R$ 20k</t>
  </si>
  <si>
    <t>Reserva imprevistos (conta corrente)</t>
  </si>
  <si>
    <t>Folga para quebradeiras do mês</t>
  </si>
  <si>
    <t>Amortização extra Caixa (futuro)</t>
  </si>
  <si>
    <t>Só começar depois da reserva emergência</t>
  </si>
  <si>
    <t>TOTAL POUPANÇA</t>
  </si>
  <si>
    <t>RESUMO FINAL</t>
  </si>
  <si>
    <t>Renda total</t>
  </si>
  <si>
    <t>Entrada mensal bruta</t>
  </si>
  <si>
    <t>(-) Gastos fixos</t>
  </si>
  <si>
    <t>Financiamento + transporte</t>
  </si>
  <si>
    <t>(-) Alimentação</t>
  </si>
  <si>
    <t>Casa + fora (controlar delivery)</t>
  </si>
  <si>
    <t>(-) Assinaturas</t>
  </si>
  <si>
    <t>Revisar trimestralmente</t>
  </si>
  <si>
    <t>(-) Casa (após mudança)</t>
  </si>
  <si>
    <t>Atualizar após mudar</t>
  </si>
  <si>
    <t>(-) Saúde/pessoal</t>
  </si>
  <si>
    <t>Cuidados básicos</t>
  </si>
  <si>
    <t>(-) Vestuário/lazer</t>
  </si>
  <si>
    <t>Qualidade de vida + roupas</t>
  </si>
  <si>
    <t>(-) Poupança</t>
  </si>
  <si>
    <t>Prioridade máxima</t>
  </si>
  <si>
    <t>SOBRA / (FALTA)</t>
  </si>
  <si>
    <t>Se sobrar: direcionar pra poupança extra</t>
  </si>
  <si>
    <t>PLANO DE COMPRAS — MONTAGEM DA CASA</t>
  </si>
  <si>
    <t>Reserva disponível: R$ 17.000 (CDB 115% CDI)</t>
  </si>
  <si>
    <t>Tier</t>
  </si>
  <si>
    <t>Item</t>
  </si>
  <si>
    <t>Valor Mín</t>
  </si>
  <si>
    <t>Valor Máx</t>
  </si>
  <si>
    <t>Forma Pagto</t>
  </si>
  <si>
    <t>T1</t>
  </si>
  <si>
    <t>Aquecedor de passagem a gás</t>
  </si>
  <si>
    <t>PIX</t>
  </si>
  <si>
    <t>Komeco/Rinnai 11L usado 1-2 anos OLX = 40% desconto</t>
  </si>
  <si>
    <t>Duchas Lorenzetti Advanced (x2)</t>
  </si>
  <si>
    <t>Básica, boa qualidade, não exageram</t>
  </si>
  <si>
    <t>Geladeira Frost Free 340L (se não têm)</t>
  </si>
  <si>
    <t>Cartão 10x</t>
  </si>
  <si>
    <t>Electrolux/Brastemp — considerar usada 2-3 anos</t>
  </si>
  <si>
    <t>Fogão 4 bocas a gás (se não têm)</t>
  </si>
  <si>
    <t>Atlas/Itatiaia suficientes — não precisa 5 bocas</t>
  </si>
  <si>
    <t>Máquina de lavar 11kg (se não têm)</t>
  </si>
  <si>
    <t>Brastemp Ative básica ou Electrolux usada</t>
  </si>
  <si>
    <t>Pequenos essenciais (lâmpadas, tomadas, ferragens)</t>
  </si>
  <si>
    <t>Lâmpadas LED, tomadas extras, pendurar TV</t>
  </si>
  <si>
    <t>T2</t>
  </si>
  <si>
    <t>Pressurizador Rowa/Komeco</t>
  </si>
  <si>
    <t>Necessário pela pressão baixa do condomínio</t>
  </si>
  <si>
    <t>Filtros caixa d'água (entrada + torneira)</t>
  </si>
  <si>
    <t>Filtro central + filtros pontuais</t>
  </si>
  <si>
    <t>Cortinas/persianas essenciais (sala + 2 quartos)</t>
  </si>
  <si>
    <t>Cartão 5x</t>
  </si>
  <si>
    <t>Começar só com o necessário, não todas janelas</t>
  </si>
  <si>
    <t>Rack TV + suporte de parede</t>
  </si>
  <si>
    <t>Suporte articulado bom vale a pena</t>
  </si>
  <si>
    <t>T3</t>
  </si>
  <si>
    <t>TV 50-55" 4K</t>
  </si>
  <si>
    <t>Aguardar BF</t>
  </si>
  <si>
    <t>ESPERAR Black Friday novembro — economia 20-30%</t>
  </si>
  <si>
    <t>Ar-condicionado split 9000 BTUs (instalado)</t>
  </si>
  <si>
    <t>Aguardar verão</t>
  </si>
  <si>
    <t>ESPERAR — só comprar se verão apertar</t>
  </si>
  <si>
    <t>Piso laminado 2 quartos (~17m²)</t>
  </si>
  <si>
    <t>POSTERGAR</t>
  </si>
  <si>
    <t>NÃO COMPRAR AGORA — morar primeiro, avaliar</t>
  </si>
  <si>
    <t>TOTAL PLANEJADO</t>
  </si>
  <si>
    <t>RESERVA DISPONÍVEL</t>
  </si>
  <si>
    <t>SOBRA DA RESERVA (proteção)</t>
  </si>
  <si>
    <t>Manter para imprevistos pós-mudança</t>
  </si>
  <si>
    <t>ESTRATÉGIA DE PAGAMENTO</t>
  </si>
  <si>
    <t>REGRA 1</t>
  </si>
  <si>
    <t>Parcelas somadas no cartão (comprometimento futuro) ≤ R$ 720/mês (10% renda)</t>
  </si>
  <si>
    <t>REGRA 2</t>
  </si>
  <si>
    <t>Desconto PIX &gt; 5% → pagar PIX sempre (ganha mais que 115% CDI)</t>
  </si>
  <si>
    <t>REGRA 3</t>
  </si>
  <si>
    <t>Desconto PIX &lt; 3% → parcelar sem juros (mantém dinheiro rendendo no CDB)</t>
  </si>
  <si>
    <t>REGRA 4</t>
  </si>
  <si>
    <t>CDB 115% CDI rende ~14% a.a. → parcelar 10x sem juros ganha ~R$ 115 por R$ 1000</t>
  </si>
  <si>
    <t>REGRA 5</t>
  </si>
  <si>
    <t>Nunca parcelar 3 compras grandes no mesmo mês — diluir no tempo</t>
  </si>
  <si>
    <t>REGRA 6</t>
  </si>
  <si>
    <t>Antes de cada compra grande, verificar "próximas faturas" do cartão</t>
  </si>
  <si>
    <t>METAS DE POUPANÇA E PROGRESSO</t>
  </si>
  <si>
    <t>PARÂMETROS (edite as células azuis)</t>
  </si>
  <si>
    <t>Poupança mensal (CDB 115% CDI)</t>
  </si>
  <si>
    <t>Valor transferido mensalmente da conta para o CDB</t>
  </si>
  <si>
    <t>Custo mensal básico (sobrevivência)</t>
  </si>
  <si>
    <t>Soma de contas essenciais caso tudo dê errado</t>
  </si>
  <si>
    <t>Meta reserva emergência (6x custos)</t>
  </si>
  <si>
    <t>Meta: sobreviver 6 meses sem renda</t>
  </si>
  <si>
    <t>Rendimento esperado CDB (% ano)</t>
  </si>
  <si>
    <t>120% CDI até R$ 10k + 115% CDI acima (média ~14,1%)</t>
  </si>
  <si>
    <t>PROJEÇÃO DE ACÚMULO (sem considerar rendimento)</t>
  </si>
  <si>
    <t>Mês</t>
  </si>
  <si>
    <t>Acumulado</t>
  </si>
  <si>
    <t>% Meta</t>
  </si>
  <si>
    <t>Marco</t>
  </si>
  <si>
    <t>Mês 1</t>
  </si>
  <si>
    <t>Mês 2</t>
  </si>
  <si>
    <t>Mês 3</t>
  </si>
  <si>
    <t>3 meses — começando</t>
  </si>
  <si>
    <t>Mês 4</t>
  </si>
  <si>
    <t>Mês 5</t>
  </si>
  <si>
    <t>Mês 6</t>
  </si>
  <si>
    <t>Meio ano — hábito criado</t>
  </si>
  <si>
    <t>Mês 7</t>
  </si>
  <si>
    <t>Mês 8</t>
  </si>
  <si>
    <t>Mês 9</t>
  </si>
  <si>
    <t>Mês 10</t>
  </si>
  <si>
    <t>Mês 11</t>
  </si>
  <si>
    <t>Mês 12</t>
  </si>
  <si>
    <t>1 ano — 1ª grande revisão</t>
  </si>
  <si>
    <t>Mês 13</t>
  </si>
  <si>
    <t>Mês 14</t>
  </si>
  <si>
    <t>Mês 15</t>
  </si>
  <si>
    <t>Mês 16</t>
  </si>
  <si>
    <t>Mês 17</t>
  </si>
  <si>
    <t>Mês 18</t>
  </si>
  <si>
    <t>Deve ter ~R$ 12k acumulados</t>
  </si>
  <si>
    <t>Mês 19</t>
  </si>
  <si>
    <t>Mês 20</t>
  </si>
  <si>
    <t>Mês 21</t>
  </si>
  <si>
    <t>Mês 22</t>
  </si>
  <si>
    <t>Mês 23</t>
  </si>
  <si>
    <t>Mês 24</t>
  </si>
  <si>
    <t>2 anos — deve estar perto da meta</t>
  </si>
  <si>
    <t>Mês 25</t>
  </si>
  <si>
    <t>Mês 26</t>
  </si>
  <si>
    <t>Mês 27</t>
  </si>
  <si>
    <t>Mês 28</t>
  </si>
  <si>
    <t>Mês 29</t>
  </si>
  <si>
    <t>Mês 30</t>
  </si>
  <si>
    <t>Possivelmente meta alcançada</t>
  </si>
  <si>
    <t>Mês 31</t>
  </si>
  <si>
    <t>Mês 32</t>
  </si>
  <si>
    <t>Mês 33</t>
  </si>
  <si>
    <t>Mês 34</t>
  </si>
  <si>
    <t>Mês 35</t>
  </si>
  <si>
    <t>Mês 36</t>
  </si>
  <si>
    <t>Se não atingiu, revisar plano</t>
  </si>
  <si>
    <t>CONFIG — PARÂMETROS E LISTAS (editar aqui)</t>
  </si>
  <si>
    <t>Parâmetros ajustáveis (editar células azuis)</t>
  </si>
  <si>
    <t>Salário Luana (base)</t>
  </si>
  <si>
    <t>Valor que ela recebe mensal (puxa do Orçamento)</t>
  </si>
  <si>
    <t>Reserva pessoal Luana (mês)</t>
  </si>
  <si>
    <t>Quanto ela separa pra projetos pessoais antes de transferir</t>
  </si>
  <si>
    <t>Mês de referência (qualquer dia do mês)</t>
  </si>
  <si>
    <t>Mude se quiser analisar outro mês no Dashboard</t>
  </si>
  <si>
    <t>Listas (usadas nos dropdowns de Lançamentos)</t>
  </si>
  <si>
    <t>Categoria (Despesa)</t>
  </si>
  <si>
    <t>Planejado (R$/mês)</t>
  </si>
  <si>
    <t>Categoria (Receita)</t>
  </si>
  <si>
    <t>Todas Categorias</t>
  </si>
  <si>
    <t>Conta Gustavo</t>
  </si>
  <si>
    <t>Receita</t>
  </si>
  <si>
    <t>Salário Gustavo</t>
  </si>
  <si>
    <t>Conta Luana</t>
  </si>
  <si>
    <t>Auxílio Combustível</t>
  </si>
  <si>
    <t>Cartão Gustavo</t>
  </si>
  <si>
    <t>VR/VA Gustavo</t>
  </si>
  <si>
    <t>Cartão Luana</t>
  </si>
  <si>
    <t>Renda extra</t>
  </si>
  <si>
    <t>Aux. Combustível Gustavo</t>
  </si>
  <si>
    <t>Dinheiro</t>
  </si>
  <si>
    <t>Folha (crédito em conta)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</si>
</sst>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m&quot; de &quot;yyyy"/>
    <numFmt numFmtId="165" formatCode="dd/mm/yyyy"/>
    <numFmt numFmtId="166" formatCode="&quot;R$ &quot;#,##0.00;[RED]&quot;R$ (&quot;#,##0.00\);\-"/>
    <numFmt numFmtId="167" formatCode="0.0%"/>
    <numFmt numFmtId="168" formatCode="&quot;R$ &quot;#,##0.00"/>
    <numFmt numFmtId="169" formatCode="&quot;R$ &quot;#,##0.00;[RED]&quot;(R$ &quot;#,##0.00\)"/>
    <numFmt numFmtId="170" formatCode="&quot;R$ &quot;#,##0"/>
    <numFmt numFmtId="171" formatCode="&quot;R$ &quot;#,##0;;\-"/>
    <numFmt numFmtId="172" formatCode="&quot;R$ &quot;#,##0;[RED]&quot;(R$ &quot;#,##0\)"/>
  </numFmts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0.0"/>
      <color theme="1"/>
      <name val="Arial"/>
    </font>
    <font>
      <b/>
      <sz val="10.0"/>
      <color rgb="FF0000FF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6.0"/>
      <color rgb="FFFFFFFF"/>
      <name val="Arial"/>
    </font>
    <font>
      <b/>
      <sz val="11.0"/>
      <color theme="1"/>
      <name val="Arial"/>
    </font>
    <font>
      <b/>
      <sz val="12.0"/>
      <color rgb="FF1F4E78"/>
      <name val="Arial"/>
    </font>
    <font>
      <b/>
      <sz val="11.0"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2E75B6"/>
        <bgColor rgb="FF2E75B6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F4B183"/>
        <bgColor rgb="FFF4B183"/>
      </patternFill>
    </fill>
    <fill>
      <patternFill patternType="solid">
        <fgColor rgb="FFFCE4D6"/>
        <bgColor rgb="FFFCE4D6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center" wrapText="0"/>
    </xf>
    <xf borderId="4" fillId="3" fontId="5" numFmtId="164" xfId="0" applyAlignment="1" applyBorder="1" applyFill="1" applyFont="1" applyNumberForma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1" fillId="4" fontId="7" numFmtId="0" xfId="0" applyAlignment="1" applyBorder="1" applyFill="1" applyFont="1">
      <alignment horizontal="left" shrinkToFit="0" vertical="center" wrapText="0"/>
    </xf>
    <xf borderId="5" fillId="5" fontId="8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8" fillId="5" fontId="8" numFmtId="0" xfId="0" applyAlignment="1" applyBorder="1" applyFont="1">
      <alignment horizontal="center" shrinkToFit="0" vertical="center" wrapText="0"/>
    </xf>
    <xf borderId="5" fillId="0" fontId="9" numFmtId="0" xfId="0" applyAlignment="1" applyBorder="1" applyFont="1">
      <alignment shrinkToFit="0" vertical="bottom" wrapText="0"/>
    </xf>
    <xf borderId="8" fillId="0" fontId="3" numFmtId="166" xfId="0" applyAlignment="1" applyBorder="1" applyFont="1" applyNumberFormat="1">
      <alignment shrinkToFit="0" vertical="bottom" wrapText="0"/>
    </xf>
    <xf borderId="8" fillId="0" fontId="3" numFmtId="167" xfId="0" applyAlignment="1" applyBorder="1" applyFont="1" applyNumberFormat="1">
      <alignment shrinkToFit="0" vertical="bottom" wrapText="0"/>
    </xf>
    <xf borderId="5" fillId="6" fontId="4" numFmtId="0" xfId="0" applyAlignment="1" applyBorder="1" applyFill="1" applyFont="1">
      <alignment shrinkToFit="0" vertical="bottom" wrapText="0"/>
    </xf>
    <xf borderId="9" fillId="0" fontId="2" numFmtId="0" xfId="0" applyBorder="1" applyFont="1"/>
    <xf borderId="8" fillId="6" fontId="4" numFmtId="166" xfId="0" applyAlignment="1" applyBorder="1" applyFont="1" applyNumberFormat="1">
      <alignment shrinkToFit="0" vertical="bottom" wrapText="0"/>
    </xf>
    <xf borderId="8" fillId="6" fontId="4" numFmtId="167" xfId="0" applyAlignment="1" applyBorder="1" applyFont="1" applyNumberForma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8" fillId="0" fontId="9" numFmtId="166" xfId="0" applyAlignment="1" applyBorder="1" applyFont="1" applyNumberFormat="1">
      <alignment shrinkToFit="0" vertical="bottom" wrapText="0"/>
    </xf>
    <xf borderId="1" fillId="6" fontId="4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shrinkToFit="0" vertical="center" wrapText="1"/>
    </xf>
    <xf borderId="5" fillId="0" fontId="9" numFmtId="0" xfId="0" applyAlignment="1" applyBorder="1" applyFont="1">
      <alignment horizontal="left" shrinkToFit="0" vertical="bottom" wrapText="0"/>
    </xf>
    <xf borderId="8" fillId="0" fontId="9" numFmtId="167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8" fillId="0" fontId="9" numFmtId="0" xfId="0" applyAlignment="1" applyBorder="1" applyFont="1">
      <alignment horizontal="left" shrinkToFit="0" vertical="bottom" wrapText="0"/>
    </xf>
    <xf borderId="8" fillId="6" fontId="4" numFmtId="0" xfId="0" applyAlignment="1" applyBorder="1" applyFont="1">
      <alignment shrinkToFit="0" vertical="bottom" wrapText="0"/>
    </xf>
    <xf borderId="8" fillId="6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8" fillId="0" fontId="9" numFmtId="165" xfId="0" applyAlignment="1" applyBorder="1" applyFont="1" applyNumberFormat="1">
      <alignment shrinkToFit="0" vertical="bottom" wrapText="0"/>
    </xf>
    <xf borderId="8" fillId="0" fontId="9" numFmtId="0" xfId="0" applyAlignment="1" applyBorder="1" applyFont="1">
      <alignment shrinkToFit="0" vertical="bottom" wrapText="0"/>
    </xf>
    <xf borderId="8" fillId="0" fontId="9" numFmtId="168" xfId="0" applyAlignment="1" applyBorder="1" applyFont="1" applyNumberFormat="1">
      <alignment shrinkToFit="0" vertical="bottom" wrapText="0"/>
    </xf>
    <xf borderId="8" fillId="0" fontId="9" numFmtId="165" xfId="0" applyAlignment="1" applyBorder="1" applyFont="1" applyNumberFormat="1">
      <alignment readingOrder="0" shrinkToFit="0" vertical="bottom" wrapText="0"/>
    </xf>
    <xf borderId="8" fillId="0" fontId="9" numFmtId="0" xfId="0" applyAlignment="1" applyBorder="1" applyFont="1">
      <alignment readingOrder="0" shrinkToFit="0" vertical="bottom" wrapText="0"/>
    </xf>
    <xf borderId="8" fillId="0" fontId="9" numFmtId="168" xfId="0" applyAlignment="1" applyBorder="1" applyFont="1" applyNumberFormat="1">
      <alignment readingOrder="0" shrinkToFit="0" vertical="bottom" wrapText="0"/>
    </xf>
    <xf borderId="8" fillId="7" fontId="9" numFmtId="165" xfId="0" applyAlignment="1" applyBorder="1" applyFill="1" applyFont="1" applyNumberFormat="1">
      <alignment shrinkToFit="0" vertical="bottom" wrapText="0"/>
    </xf>
    <xf borderId="8" fillId="7" fontId="9" numFmtId="0" xfId="0" applyAlignment="1" applyBorder="1" applyFont="1">
      <alignment shrinkToFit="0" vertical="bottom" wrapText="0"/>
    </xf>
    <xf borderId="8" fillId="7" fontId="9" numFmtId="166" xfId="0" applyAlignment="1" applyBorder="1" applyFont="1" applyNumberFormat="1">
      <alignment shrinkToFit="0" vertical="bottom" wrapText="0"/>
    </xf>
    <xf borderId="1" fillId="2" fontId="10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center" shrinkToFit="0" vertical="bottom" wrapText="0"/>
    </xf>
    <xf borderId="10" fillId="5" fontId="11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shrinkToFit="0" vertical="bottom" wrapText="0"/>
    </xf>
    <xf borderId="10" fillId="0" fontId="9" numFmtId="168" xfId="0" applyAlignment="1" applyBorder="1" applyFont="1" applyNumberFormat="1">
      <alignment shrinkToFit="0" vertical="bottom" wrapText="0"/>
    </xf>
    <xf borderId="10" fillId="0" fontId="9" numFmtId="167" xfId="0" applyAlignment="1" applyBorder="1" applyFont="1" applyNumberFormat="1">
      <alignment shrinkToFit="0" vertical="bottom" wrapText="0"/>
    </xf>
    <xf borderId="10" fillId="2" fontId="7" numFmtId="0" xfId="0" applyAlignment="1" applyBorder="1" applyFont="1">
      <alignment shrinkToFit="0" vertical="bottom" wrapText="0"/>
    </xf>
    <xf borderId="10" fillId="2" fontId="7" numFmtId="168" xfId="0" applyAlignment="1" applyBorder="1" applyFont="1" applyNumberFormat="1">
      <alignment shrinkToFit="0" vertical="bottom" wrapText="0"/>
    </xf>
    <xf borderId="10" fillId="2" fontId="7" numFmtId="167" xfId="0" applyAlignment="1" applyBorder="1" applyFont="1" applyNumberFormat="1">
      <alignment shrinkToFit="0" vertical="bottom" wrapText="0"/>
    </xf>
    <xf borderId="10" fillId="2" fontId="3" numFmtId="0" xfId="0" applyAlignment="1" applyBorder="1" applyFont="1">
      <alignment shrinkToFit="0" vertical="bottom" wrapText="0"/>
    </xf>
    <xf borderId="10" fillId="6" fontId="11" numFmtId="0" xfId="0" applyAlignment="1" applyBorder="1" applyFont="1">
      <alignment shrinkToFit="0" vertical="bottom" wrapText="0"/>
    </xf>
    <xf borderId="10" fillId="6" fontId="9" numFmtId="0" xfId="0" applyAlignment="1" applyBorder="1" applyFont="1">
      <alignment shrinkToFit="0" vertical="bottom" wrapText="0"/>
    </xf>
    <xf borderId="10" fillId="6" fontId="9" numFmtId="168" xfId="0" applyAlignment="1" applyBorder="1" applyFont="1" applyNumberFormat="1">
      <alignment shrinkToFit="0" vertical="bottom" wrapText="0"/>
    </xf>
    <xf borderId="10" fillId="6" fontId="9" numFmtId="167" xfId="0" applyAlignment="1" applyBorder="1" applyFont="1" applyNumberFormat="1">
      <alignment shrinkToFit="0" vertical="bottom" wrapText="0"/>
    </xf>
    <xf borderId="10" fillId="8" fontId="9" numFmtId="0" xfId="0" applyAlignment="1" applyBorder="1" applyFill="1" applyFont="1">
      <alignment shrinkToFit="0" vertical="bottom" wrapText="0"/>
    </xf>
    <xf borderId="10" fillId="8" fontId="9" numFmtId="168" xfId="0" applyAlignment="1" applyBorder="1" applyFont="1" applyNumberFormat="1">
      <alignment shrinkToFit="0" vertical="bottom" wrapText="0"/>
    </xf>
    <xf borderId="10" fillId="8" fontId="9" numFmtId="167" xfId="0" applyAlignment="1" applyBorder="1" applyFont="1" applyNumberFormat="1">
      <alignment shrinkToFit="0" vertical="bottom" wrapText="0"/>
    </xf>
    <xf borderId="10" fillId="5" fontId="9" numFmtId="0" xfId="0" applyAlignment="1" applyBorder="1" applyFont="1">
      <alignment shrinkToFit="0" vertical="bottom" wrapText="0"/>
    </xf>
    <xf borderId="10" fillId="5" fontId="9" numFmtId="168" xfId="0" applyAlignment="1" applyBorder="1" applyFont="1" applyNumberFormat="1">
      <alignment shrinkToFit="0" vertical="bottom" wrapText="0"/>
    </xf>
    <xf borderId="10" fillId="5" fontId="9" numFmtId="167" xfId="0" applyAlignment="1" applyBorder="1" applyFont="1" applyNumberFormat="1">
      <alignment shrinkToFit="0" vertical="bottom" wrapText="0"/>
    </xf>
    <xf borderId="10" fillId="0" fontId="11" numFmtId="0" xfId="0" applyAlignment="1" applyBorder="1" applyFont="1">
      <alignment shrinkToFit="0" vertical="bottom" wrapText="0"/>
    </xf>
    <xf borderId="10" fillId="0" fontId="11" numFmtId="168" xfId="0" applyAlignment="1" applyBorder="1" applyFont="1" applyNumberFormat="1">
      <alignment shrinkToFit="0" vertical="bottom" wrapText="0"/>
    </xf>
    <xf borderId="10" fillId="2" fontId="7" numFmtId="169" xfId="0" applyAlignment="1" applyBorder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10" fillId="4" fontId="7" numFmtId="0" xfId="0" applyAlignment="1" applyBorder="1" applyFont="1">
      <alignment horizontal="center" shrinkToFit="0" vertical="bottom" wrapText="0"/>
    </xf>
    <xf borderId="10" fillId="6" fontId="11" numFmtId="0" xfId="0" applyAlignment="1" applyBorder="1" applyFont="1">
      <alignment horizontal="center" shrinkToFit="0" vertical="bottom" wrapText="0"/>
    </xf>
    <xf borderId="10" fillId="6" fontId="9" numFmtId="170" xfId="0" applyAlignment="1" applyBorder="1" applyFont="1" applyNumberFormat="1">
      <alignment shrinkToFit="0" vertical="bottom" wrapText="0"/>
    </xf>
    <xf borderId="10" fillId="6" fontId="9" numFmtId="171" xfId="0" applyAlignment="1" applyBorder="1" applyFont="1" applyNumberFormat="1">
      <alignment shrinkToFit="0" vertical="bottom" wrapText="0"/>
    </xf>
    <xf borderId="10" fillId="6" fontId="9" numFmtId="0" xfId="0" applyAlignment="1" applyBorder="1" applyFont="1">
      <alignment horizontal="center" shrinkToFit="0" vertical="bottom" wrapText="0"/>
    </xf>
    <xf borderId="10" fillId="3" fontId="11" numFmtId="0" xfId="0" applyAlignment="1" applyBorder="1" applyFont="1">
      <alignment horizontal="center" shrinkToFit="0" vertical="bottom" wrapText="0"/>
    </xf>
    <xf borderId="10" fillId="3" fontId="9" numFmtId="0" xfId="0" applyAlignment="1" applyBorder="1" applyFont="1">
      <alignment shrinkToFit="0" vertical="bottom" wrapText="0"/>
    </xf>
    <xf borderId="10" fillId="3" fontId="9" numFmtId="170" xfId="0" applyAlignment="1" applyBorder="1" applyFont="1" applyNumberFormat="1">
      <alignment shrinkToFit="0" vertical="bottom" wrapText="0"/>
    </xf>
    <xf borderId="10" fillId="3" fontId="9" numFmtId="171" xfId="0" applyAlignment="1" applyBorder="1" applyFont="1" applyNumberFormat="1">
      <alignment shrinkToFit="0" vertical="bottom" wrapText="0"/>
    </xf>
    <xf borderId="10" fillId="3" fontId="9" numFmtId="0" xfId="0" applyAlignment="1" applyBorder="1" applyFont="1">
      <alignment horizontal="center" shrinkToFit="0" vertical="bottom" wrapText="0"/>
    </xf>
    <xf borderId="10" fillId="9" fontId="11" numFmtId="0" xfId="0" applyAlignment="1" applyBorder="1" applyFill="1" applyFont="1">
      <alignment horizontal="center" shrinkToFit="0" vertical="bottom" wrapText="0"/>
    </xf>
    <xf borderId="10" fillId="9" fontId="9" numFmtId="0" xfId="0" applyAlignment="1" applyBorder="1" applyFont="1">
      <alignment shrinkToFit="0" vertical="bottom" wrapText="0"/>
    </xf>
    <xf borderId="10" fillId="9" fontId="9" numFmtId="170" xfId="0" applyAlignment="1" applyBorder="1" applyFont="1" applyNumberFormat="1">
      <alignment shrinkToFit="0" vertical="bottom" wrapText="0"/>
    </xf>
    <xf borderId="10" fillId="9" fontId="9" numFmtId="171" xfId="0" applyAlignment="1" applyBorder="1" applyFont="1" applyNumberFormat="1">
      <alignment shrinkToFit="0" vertical="bottom" wrapText="0"/>
    </xf>
    <xf borderId="10" fillId="9" fontId="9" numFmtId="0" xfId="0" applyAlignment="1" applyBorder="1" applyFont="1">
      <alignment horizontal="center" shrinkToFit="0" vertical="bottom" wrapText="0"/>
    </xf>
    <xf borderId="10" fillId="2" fontId="7" numFmtId="170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170" xfId="0" applyAlignment="1" applyFont="1" applyNumberFormat="1">
      <alignment shrinkToFit="0" vertical="bottom" wrapText="0"/>
    </xf>
    <xf borderId="0" fillId="0" fontId="11" numFmtId="172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11" fillId="0" fontId="9" numFmtId="0" xfId="0" applyAlignment="1" applyBorder="1" applyFont="1">
      <alignment shrinkToFit="0" vertical="bottom" wrapText="0"/>
    </xf>
    <xf borderId="12" fillId="0" fontId="2" numFmtId="0" xfId="0" applyBorder="1" applyFont="1"/>
    <xf borderId="13" fillId="0" fontId="2" numFmtId="0" xfId="0" applyBorder="1" applyFont="1"/>
    <xf borderId="10" fillId="3" fontId="13" numFmtId="168" xfId="0" applyAlignment="1" applyBorder="1" applyFont="1" applyNumberFormat="1">
      <alignment shrinkToFit="0" vertical="bottom" wrapText="0"/>
    </xf>
    <xf borderId="10" fillId="0" fontId="9" numFmtId="0" xfId="0" applyAlignment="1" applyBorder="1" applyFont="1">
      <alignment shrinkToFit="0" vertical="bottom" wrapText="1"/>
    </xf>
    <xf borderId="10" fillId="3" fontId="13" numFmtId="167" xfId="0" applyAlignment="1" applyBorder="1" applyFont="1" applyNumberFormat="1">
      <alignment shrinkToFit="0" vertical="bottom" wrapText="0"/>
    </xf>
    <xf borderId="4" fillId="3" fontId="5" numFmtId="166" xfId="0" applyAlignment="1" applyBorder="1" applyFont="1" applyNumberFormat="1">
      <alignment shrinkToFit="0" vertical="bottom" wrapText="0"/>
    </xf>
    <xf borderId="4" fillId="3" fontId="5" numFmtId="165" xfId="0" applyAlignment="1" applyBorder="1" applyFont="1" applyNumberFormat="1">
      <alignment shrinkToFit="0" vertical="bottom" wrapText="0"/>
    </xf>
    <xf borderId="4" fillId="4" fontId="7" numFmtId="0" xfId="0" applyAlignment="1" applyBorder="1" applyFont="1">
      <alignment horizontal="left" shrinkToFit="0" vertical="center" wrapText="0"/>
    </xf>
    <xf borderId="8" fillId="5" fontId="8" numFmtId="0" xfId="0" applyAlignment="1" applyBorder="1" applyFont="1">
      <alignment shrinkToFit="0" vertical="bottom" wrapText="0"/>
    </xf>
    <xf borderId="0" fillId="0" fontId="9" numFmtId="166" xfId="0" applyAlignment="1" applyFont="1" applyNumberFormat="1">
      <alignment shrinkToFit="0" vertical="bottom" wrapText="0"/>
    </xf>
    <xf borderId="8" fillId="0" fontId="9" numFmtId="0" xfId="0" applyAlignment="1" applyBorder="1" applyFont="1">
      <alignment horizontal="left" shrinkToFit="0" vertical="center" wrapText="0"/>
    </xf>
    <xf borderId="8" fillId="0" fontId="9" numFmtId="166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rgb="FFD5E8D4"/>
          <bgColor rgb="FFD5E8D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6.0"/>
    <col customWidth="1" min="4" max="7" width="14.0"/>
  </cols>
  <sheetData>
    <row r="1" ht="25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5" t="s">
        <v>1</v>
      </c>
      <c r="B3" s="6">
        <f>Config!B6</f>
        <v>46136</v>
      </c>
      <c r="C3" s="7" t="s">
        <v>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3</v>
      </c>
      <c r="B4" s="8">
        <f>DATE(YEAR(B3),MONTH(B3),1)</f>
        <v>46113</v>
      </c>
      <c r="C4" s="7" t="s">
        <v>4</v>
      </c>
      <c r="D4" s="8">
        <f>EOMONTH(B3,0)</f>
        <v>46142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9" t="s">
        <v>5</v>
      </c>
      <c r="B6" s="2"/>
      <c r="C6" s="2"/>
      <c r="D6" s="2"/>
      <c r="E6" s="2"/>
      <c r="F6" s="2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0" t="s">
        <v>6</v>
      </c>
      <c r="B7" s="11"/>
      <c r="C7" s="12"/>
      <c r="D7" s="13" t="s">
        <v>7</v>
      </c>
      <c r="E7" s="13" t="s">
        <v>8</v>
      </c>
      <c r="F7" s="13" t="s">
        <v>9</v>
      </c>
      <c r="G7" s="13" t="s">
        <v>10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4" t="s">
        <v>11</v>
      </c>
      <c r="B8" s="11"/>
      <c r="C8" s="11"/>
      <c r="D8" s="15">
        <f>'Orçamento Mensal'!B9</f>
        <v>8700</v>
      </c>
      <c r="E8" s="15">
        <f>SUMIFS('Lançamentos'!C:C,'Lançamentos'!B:B,"Receita",'Lançamentos'!A:A,"&gt;="&amp;$B$4,'Lançamentos'!A:A,"&lt;="&amp;$D$4)</f>
        <v>0</v>
      </c>
      <c r="F8" s="15">
        <f>E8-D8</f>
        <v>-8700</v>
      </c>
      <c r="G8" s="16">
        <f t="shared" ref="G8:G10" si="1">IF(D8=0,0,E8/D8)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4" t="s">
        <v>12</v>
      </c>
      <c r="B9" s="11"/>
      <c r="C9" s="11"/>
      <c r="D9" s="15">
        <f>'Orçamento Mensal'!B18+'Orçamento Mensal'!B29+'Orçamento Mensal'!B38+'Orçamento Mensal'!B47+'Orçamento Mensal'!B57+'Orçamento Mensal'!B67+'Orçamento Mensal'!B74</f>
        <v>8155</v>
      </c>
      <c r="E9" s="15">
        <f>SUMIFS('Lançamentos'!C:C,'Lançamentos'!B:B,"Despesa",'Lançamentos'!A:A,"&gt;="&amp;$B$4,'Lançamentos'!A:A,"&lt;="&amp;$D$4)</f>
        <v>19</v>
      </c>
      <c r="F9" s="15">
        <f>D9-E9</f>
        <v>8136</v>
      </c>
      <c r="G9" s="16">
        <f t="shared" si="1"/>
        <v>0.002329858982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7" t="s">
        <v>13</v>
      </c>
      <c r="B10" s="11"/>
      <c r="C10" s="18"/>
      <c r="D10" s="19">
        <f t="shared" ref="D10:E10" si="2">D8-D9</f>
        <v>545</v>
      </c>
      <c r="E10" s="19">
        <f t="shared" si="2"/>
        <v>-19</v>
      </c>
      <c r="F10" s="19">
        <f>E10-D10</f>
        <v>-564</v>
      </c>
      <c r="G10" s="20">
        <f t="shared" si="1"/>
        <v>-0.03486238532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9" t="s">
        <v>14</v>
      </c>
      <c r="B12" s="2"/>
      <c r="C12" s="2"/>
      <c r="D12" s="2"/>
      <c r="E12" s="2"/>
      <c r="F12" s="2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1" t="s">
        <v>15</v>
      </c>
      <c r="E13" s="22">
        <f>SUMIFS('Lançamentos'!C:C,'Lançamentos'!B:B,"Receita",'Lançamentos'!A:A,"&gt;="&amp;$B$4,'Lançamentos'!A:A,"&lt;="&amp;$D$4,'Lançamentos'!E:E,"Luana")</f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1" t="s">
        <v>16</v>
      </c>
      <c r="E14" s="22">
        <f>SUMIFS('Lançamentos'!C:C,'Lançamentos'!B:B,"Despesa",'Lançamentos'!A:A,"&gt;="&amp;$B$4,'Lançamentos'!A:A,"&lt;="&amp;$D$4,'Lançamentos'!E:E,"Luana")</f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1" t="s">
        <v>17</v>
      </c>
      <c r="E15" s="22">
        <f>Config!B5</f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23" t="s">
        <v>18</v>
      </c>
      <c r="B16" s="2"/>
      <c r="C16" s="2"/>
      <c r="D16" s="3"/>
      <c r="E16" s="19">
        <f>E13-E14-E15</f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24" t="s">
        <v>19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9" t="s">
        <v>20</v>
      </c>
      <c r="B19" s="2"/>
      <c r="C19" s="2"/>
      <c r="D19" s="2"/>
      <c r="E19" s="2"/>
      <c r="F19" s="2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0" t="s">
        <v>21</v>
      </c>
      <c r="B20" s="12"/>
      <c r="C20" s="13" t="s">
        <v>22</v>
      </c>
      <c r="D20" s="13" t="s">
        <v>23</v>
      </c>
      <c r="E20" s="10" t="s">
        <v>24</v>
      </c>
      <c r="F20" s="11"/>
      <c r="G20" s="1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5" t="s">
        <v>25</v>
      </c>
      <c r="B21" s="12"/>
      <c r="C21" s="22">
        <f>SUMIFS('Lançamentos'!C:C,'Lançamentos'!B:B,"Despesa",'Lançamentos'!A:A,"&gt;="&amp;$B$4,'Lançamentos'!A:A,"&lt;="&amp;$D$4,'Lançamentos'!E:E,"Gustavo")</f>
        <v>19</v>
      </c>
      <c r="D21" s="26">
        <f t="shared" ref="D21:D22" si="3">IF($E$9=0,0,C21/$E$9)</f>
        <v>1</v>
      </c>
      <c r="E21" s="27"/>
      <c r="F21" s="11"/>
      <c r="G21" s="1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5" t="s">
        <v>26</v>
      </c>
      <c r="B22" s="12"/>
      <c r="C22" s="22">
        <f>SUMIFS('Lançamentos'!C:C,'Lançamentos'!B:B,"Despesa",'Lançamentos'!A:A,"&gt;="&amp;$B$4,'Lançamentos'!A:A,"&lt;="&amp;$D$4,'Lançamentos'!E:E,"Luana")</f>
        <v>0</v>
      </c>
      <c r="D22" s="26">
        <f t="shared" si="3"/>
        <v>0</v>
      </c>
      <c r="E22" s="27"/>
      <c r="F22" s="11"/>
      <c r="G22" s="1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9" t="s">
        <v>27</v>
      </c>
      <c r="B24" s="2"/>
      <c r="C24" s="2"/>
      <c r="D24" s="2"/>
      <c r="E24" s="2"/>
      <c r="F24" s="2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3" t="s">
        <v>28</v>
      </c>
      <c r="B25" s="10" t="s">
        <v>29</v>
      </c>
      <c r="C25" s="12"/>
      <c r="D25" s="13" t="s">
        <v>7</v>
      </c>
      <c r="E25" s="13" t="s">
        <v>8</v>
      </c>
      <c r="F25" s="13" t="s">
        <v>9</v>
      </c>
      <c r="G25" s="13" t="s">
        <v>30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8" t="s">
        <v>31</v>
      </c>
      <c r="B26" s="25" t="s">
        <v>32</v>
      </c>
      <c r="C26" s="12"/>
      <c r="D26" s="22">
        <f>VLOOKUP(B26,Config!$E$11:$F$50,2,FALSE())</f>
        <v>1910</v>
      </c>
      <c r="E26" s="22">
        <f>SUMIFS('Lançamentos'!C:C,'Lançamentos'!B:B,"Despesa",'Lançamentos'!A:A,"&gt;="&amp;$B$4,'Lançamentos'!A:A,"&lt;="&amp;$D$4,'Lançamentos'!D:D,B26)</f>
        <v>0</v>
      </c>
      <c r="F26" s="22">
        <f t="shared" ref="F26:F64" si="4">D26-E26</f>
        <v>1910</v>
      </c>
      <c r="G26" s="26">
        <f t="shared" ref="G26:G64" si="5">IF(D26=0,IF(E26=0,0,9.99),E26/D26)</f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8" t="s">
        <v>31</v>
      </c>
      <c r="B27" s="25" t="s">
        <v>33</v>
      </c>
      <c r="C27" s="12"/>
      <c r="D27" s="22">
        <f>VLOOKUP(B27,Config!$E$11:$F$50,2,FALSE())</f>
        <v>870</v>
      </c>
      <c r="E27" s="22">
        <f>SUMIFS('Lançamentos'!C:C,'Lançamentos'!B:B,"Despesa",'Lançamentos'!A:A,"&gt;="&amp;$B$4,'Lançamentos'!A:A,"&lt;="&amp;$D$4,'Lançamentos'!D:D,B27)</f>
        <v>0</v>
      </c>
      <c r="F27" s="22">
        <f t="shared" si="4"/>
        <v>870</v>
      </c>
      <c r="G27" s="26">
        <f t="shared" si="5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8" t="s">
        <v>31</v>
      </c>
      <c r="B28" s="25" t="s">
        <v>34</v>
      </c>
      <c r="C28" s="12"/>
      <c r="D28" s="22">
        <f>VLOOKUP(B28,Config!$E$11:$F$50,2,FALSE())</f>
        <v>145</v>
      </c>
      <c r="E28" s="22">
        <f>SUMIFS('Lançamentos'!C:C,'Lançamentos'!B:B,"Despesa",'Lançamentos'!A:A,"&gt;="&amp;$B$4,'Lançamentos'!A:A,"&lt;="&amp;$D$4,'Lançamentos'!D:D,B28)</f>
        <v>0</v>
      </c>
      <c r="F28" s="22">
        <f t="shared" si="4"/>
        <v>145</v>
      </c>
      <c r="G28" s="26">
        <f t="shared" si="5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8" t="s">
        <v>31</v>
      </c>
      <c r="B29" s="25" t="s">
        <v>35</v>
      </c>
      <c r="C29" s="12"/>
      <c r="D29" s="22">
        <f>VLOOKUP(B29,Config!$E$11:$F$50,2,FALSE())</f>
        <v>75</v>
      </c>
      <c r="E29" s="22">
        <f>SUMIFS('Lançamentos'!C:C,'Lançamentos'!B:B,"Despesa",'Lançamentos'!A:A,"&gt;="&amp;$B$4,'Lançamentos'!A:A,"&lt;="&amp;$D$4,'Lançamentos'!D:D,B29)</f>
        <v>0</v>
      </c>
      <c r="F29" s="22">
        <f t="shared" si="4"/>
        <v>75</v>
      </c>
      <c r="G29" s="26">
        <f t="shared" si="5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8" t="s">
        <v>31</v>
      </c>
      <c r="B30" s="25" t="s">
        <v>36</v>
      </c>
      <c r="C30" s="12"/>
      <c r="D30" s="22">
        <f>VLOOKUP(B30,Config!$E$11:$F$50,2,FALSE())</f>
        <v>200</v>
      </c>
      <c r="E30" s="22">
        <f>SUMIFS('Lançamentos'!C:C,'Lançamentos'!B:B,"Despesa",'Lançamentos'!A:A,"&gt;="&amp;$B$4,'Lançamentos'!A:A,"&lt;="&amp;$D$4,'Lançamentos'!D:D,B30)</f>
        <v>0</v>
      </c>
      <c r="F30" s="22">
        <f t="shared" si="4"/>
        <v>200</v>
      </c>
      <c r="G30" s="26">
        <f t="shared" si="5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8" t="s">
        <v>37</v>
      </c>
      <c r="B31" s="25" t="s">
        <v>38</v>
      </c>
      <c r="C31" s="12"/>
      <c r="D31" s="22">
        <f>VLOOKUP(B31,Config!$E$11:$F$50,2,FALSE())</f>
        <v>800</v>
      </c>
      <c r="E31" s="22">
        <f>SUMIFS('Lançamentos'!C:C,'Lançamentos'!B:B,"Despesa",'Lançamentos'!A:A,"&gt;="&amp;$B$4,'Lançamentos'!A:A,"&lt;="&amp;$D$4,'Lançamentos'!D:D,B31)</f>
        <v>0</v>
      </c>
      <c r="F31" s="22">
        <f t="shared" si="4"/>
        <v>800</v>
      </c>
      <c r="G31" s="26">
        <f t="shared" si="5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8" t="s">
        <v>37</v>
      </c>
      <c r="B32" s="25" t="s">
        <v>39</v>
      </c>
      <c r="C32" s="12"/>
      <c r="D32" s="22">
        <f>VLOOKUP(B32,Config!$E$11:$F$50,2,FALSE())</f>
        <v>180</v>
      </c>
      <c r="E32" s="22">
        <f>SUMIFS('Lançamentos'!C:C,'Lançamentos'!B:B,"Despesa",'Lançamentos'!A:A,"&gt;="&amp;$B$4,'Lançamentos'!A:A,"&lt;="&amp;$D$4,'Lançamentos'!D:D,B32)</f>
        <v>0</v>
      </c>
      <c r="F32" s="22">
        <f t="shared" si="4"/>
        <v>180</v>
      </c>
      <c r="G32" s="26">
        <f t="shared" si="5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8" t="s">
        <v>37</v>
      </c>
      <c r="B33" s="25" t="s">
        <v>40</v>
      </c>
      <c r="C33" s="12"/>
      <c r="D33" s="22">
        <f>VLOOKUP(B33,Config!$E$11:$F$50,2,FALSE())</f>
        <v>250</v>
      </c>
      <c r="E33" s="22">
        <f>SUMIFS('Lançamentos'!C:C,'Lançamentos'!B:B,"Despesa",'Lançamentos'!A:A,"&gt;="&amp;$B$4,'Lançamentos'!A:A,"&lt;="&amp;$D$4,'Lançamentos'!D:D,B33)</f>
        <v>0</v>
      </c>
      <c r="F33" s="22">
        <f t="shared" si="4"/>
        <v>250</v>
      </c>
      <c r="G33" s="26">
        <f t="shared" si="5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8" t="s">
        <v>37</v>
      </c>
      <c r="B34" s="25" t="s">
        <v>41</v>
      </c>
      <c r="C34" s="12"/>
      <c r="D34" s="22">
        <f>VLOOKUP(B34,Config!$E$11:$F$50,2,FALSE())</f>
        <v>280</v>
      </c>
      <c r="E34" s="22">
        <f>SUMIFS('Lançamentos'!C:C,'Lançamentos'!B:B,"Despesa",'Lançamentos'!A:A,"&gt;="&amp;$B$4,'Lançamentos'!A:A,"&lt;="&amp;$D$4,'Lançamentos'!D:D,B34)</f>
        <v>0</v>
      </c>
      <c r="F34" s="22">
        <f t="shared" si="4"/>
        <v>280</v>
      </c>
      <c r="G34" s="26">
        <f t="shared" si="5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8" t="s">
        <v>37</v>
      </c>
      <c r="B35" s="25" t="s">
        <v>42</v>
      </c>
      <c r="C35" s="12"/>
      <c r="D35" s="22">
        <f>VLOOKUP(B35,Config!$E$11:$F$50,2,FALSE())</f>
        <v>150</v>
      </c>
      <c r="E35" s="22">
        <f>SUMIFS('Lançamentos'!C:C,'Lançamentos'!B:B,"Despesa",'Lançamentos'!A:A,"&gt;="&amp;$B$4,'Lançamentos'!A:A,"&lt;="&amp;$D$4,'Lançamentos'!D:D,B35)</f>
        <v>0</v>
      </c>
      <c r="F35" s="22">
        <f t="shared" si="4"/>
        <v>150</v>
      </c>
      <c r="G35" s="26">
        <f t="shared" si="5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8" t="s">
        <v>37</v>
      </c>
      <c r="B36" s="25" t="s">
        <v>43</v>
      </c>
      <c r="C36" s="12"/>
      <c r="D36" s="22">
        <f>VLOOKUP(B36,Config!$E$11:$F$50,2,FALSE())</f>
        <v>100</v>
      </c>
      <c r="E36" s="22">
        <f>SUMIFS('Lançamentos'!C:C,'Lançamentos'!B:B,"Despesa",'Lançamentos'!A:A,"&gt;="&amp;$B$4,'Lançamentos'!A:A,"&lt;="&amp;$D$4,'Lançamentos'!D:D,B36)</f>
        <v>0</v>
      </c>
      <c r="F36" s="22">
        <f t="shared" si="4"/>
        <v>100</v>
      </c>
      <c r="G36" s="26">
        <f t="shared" si="5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8" t="s">
        <v>37</v>
      </c>
      <c r="B37" s="25" t="s">
        <v>44</v>
      </c>
      <c r="C37" s="12"/>
      <c r="D37" s="22">
        <f>VLOOKUP(B37,Config!$E$11:$F$50,2,FALSE())</f>
        <v>60</v>
      </c>
      <c r="E37" s="22">
        <f>SUMIFS('Lançamentos'!C:C,'Lançamentos'!B:B,"Despesa",'Lançamentos'!A:A,"&gt;="&amp;$B$4,'Lançamentos'!A:A,"&lt;="&amp;$D$4,'Lançamentos'!D:D,B37)</f>
        <v>19</v>
      </c>
      <c r="F37" s="22">
        <f t="shared" si="4"/>
        <v>41</v>
      </c>
      <c r="G37" s="26">
        <f t="shared" si="5"/>
        <v>0.3166666667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8" t="s">
        <v>45</v>
      </c>
      <c r="B38" s="25" t="s">
        <v>46</v>
      </c>
      <c r="C38" s="12"/>
      <c r="D38" s="22">
        <f>VLOOKUP(B38,Config!$E$11:$F$50,2,FALSE())</f>
        <v>100</v>
      </c>
      <c r="E38" s="22">
        <f>SUMIFS('Lançamentos'!C:C,'Lançamentos'!B:B,"Despesa",'Lançamentos'!A:A,"&gt;="&amp;$B$4,'Lançamentos'!A:A,"&lt;="&amp;$D$4,'Lançamentos'!D:D,B38)</f>
        <v>0</v>
      </c>
      <c r="F38" s="22">
        <f t="shared" si="4"/>
        <v>100</v>
      </c>
      <c r="G38" s="26">
        <f t="shared" si="5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8" t="s">
        <v>45</v>
      </c>
      <c r="B39" s="25" t="s">
        <v>47</v>
      </c>
      <c r="C39" s="12"/>
      <c r="D39" s="22">
        <f>VLOOKUP(B39,Config!$E$11:$F$50,2,FALSE())</f>
        <v>100</v>
      </c>
      <c r="E39" s="22">
        <f>SUMIFS('Lançamentos'!C:C,'Lançamentos'!B:B,"Despesa",'Lançamentos'!A:A,"&gt;="&amp;$B$4,'Lançamentos'!A:A,"&lt;="&amp;$D$4,'Lançamentos'!D:D,B39)</f>
        <v>0</v>
      </c>
      <c r="F39" s="22">
        <f t="shared" si="4"/>
        <v>100</v>
      </c>
      <c r="G39" s="26">
        <f t="shared" si="5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8" t="s">
        <v>45</v>
      </c>
      <c r="B40" s="25" t="s">
        <v>48</v>
      </c>
      <c r="C40" s="12"/>
      <c r="D40" s="22">
        <f>VLOOKUP(B40,Config!$E$11:$F$50,2,FALSE())</f>
        <v>75</v>
      </c>
      <c r="E40" s="22">
        <f>SUMIFS('Lançamentos'!C:C,'Lançamentos'!B:B,"Despesa",'Lançamentos'!A:A,"&gt;="&amp;$B$4,'Lançamentos'!A:A,"&lt;="&amp;$D$4,'Lançamentos'!D:D,B40)</f>
        <v>0</v>
      </c>
      <c r="F40" s="22">
        <f t="shared" si="4"/>
        <v>75</v>
      </c>
      <c r="G40" s="26">
        <f t="shared" si="5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8" t="s">
        <v>45</v>
      </c>
      <c r="B41" s="25" t="s">
        <v>49</v>
      </c>
      <c r="C41" s="12"/>
      <c r="D41" s="22">
        <f>VLOOKUP(B41,Config!$E$11:$F$50,2,FALSE())</f>
        <v>28</v>
      </c>
      <c r="E41" s="22">
        <f>SUMIFS('Lançamentos'!C:C,'Lançamentos'!B:B,"Despesa",'Lançamentos'!A:A,"&gt;="&amp;$B$4,'Lançamentos'!A:A,"&lt;="&amp;$D$4,'Lançamentos'!D:D,B41)</f>
        <v>0</v>
      </c>
      <c r="F41" s="22">
        <f t="shared" si="4"/>
        <v>28</v>
      </c>
      <c r="G41" s="26">
        <f t="shared" si="5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8" t="s">
        <v>45</v>
      </c>
      <c r="B42" s="25" t="s">
        <v>50</v>
      </c>
      <c r="C42" s="12"/>
      <c r="D42" s="22">
        <f>VLOOKUP(B42,Config!$E$11:$F$50,2,FALSE())</f>
        <v>17</v>
      </c>
      <c r="E42" s="22">
        <f>SUMIFS('Lançamentos'!C:C,'Lançamentos'!B:B,"Despesa",'Lançamentos'!A:A,"&gt;="&amp;$B$4,'Lançamentos'!A:A,"&lt;="&amp;$D$4,'Lançamentos'!D:D,B42)</f>
        <v>0</v>
      </c>
      <c r="F42" s="22">
        <f t="shared" si="4"/>
        <v>17</v>
      </c>
      <c r="G42" s="26">
        <f t="shared" si="5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8" t="s">
        <v>51</v>
      </c>
      <c r="B43" s="25" t="s">
        <v>52</v>
      </c>
      <c r="C43" s="12"/>
      <c r="D43" s="22">
        <f>VLOOKUP(B43,Config!$E$11:$F$50,2,FALSE())</f>
        <v>500</v>
      </c>
      <c r="E43" s="22">
        <f>SUMIFS('Lançamentos'!C:C,'Lançamentos'!B:B,"Despesa",'Lançamentos'!A:A,"&gt;="&amp;$B$4,'Lançamentos'!A:A,"&lt;="&amp;$D$4,'Lançamentos'!D:D,B43)</f>
        <v>0</v>
      </c>
      <c r="F43" s="22">
        <f t="shared" si="4"/>
        <v>500</v>
      </c>
      <c r="G43" s="26">
        <f t="shared" si="5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8" t="s">
        <v>51</v>
      </c>
      <c r="B44" s="25" t="s">
        <v>53</v>
      </c>
      <c r="C44" s="12"/>
      <c r="D44" s="22">
        <f>VLOOKUP(B44,Config!$E$11:$F$50,2,FALSE())</f>
        <v>170</v>
      </c>
      <c r="E44" s="22">
        <f>SUMIFS('Lançamentos'!C:C,'Lançamentos'!B:B,"Despesa",'Lançamentos'!A:A,"&gt;="&amp;$B$4,'Lançamentos'!A:A,"&lt;="&amp;$D$4,'Lançamentos'!D:D,B44)</f>
        <v>0</v>
      </c>
      <c r="F44" s="22">
        <f t="shared" si="4"/>
        <v>170</v>
      </c>
      <c r="G44" s="26">
        <f t="shared" si="5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8" t="s">
        <v>51</v>
      </c>
      <c r="B45" s="25" t="s">
        <v>54</v>
      </c>
      <c r="C45" s="12"/>
      <c r="D45" s="22">
        <f>VLOOKUP(B45,Config!$E$11:$F$50,2,FALSE())</f>
        <v>80</v>
      </c>
      <c r="E45" s="22">
        <f>SUMIFS('Lançamentos'!C:C,'Lançamentos'!B:B,"Despesa",'Lançamentos'!A:A,"&gt;="&amp;$B$4,'Lançamentos'!A:A,"&lt;="&amp;$D$4,'Lançamentos'!D:D,B45)</f>
        <v>0</v>
      </c>
      <c r="F45" s="22">
        <f t="shared" si="4"/>
        <v>80</v>
      </c>
      <c r="G45" s="26">
        <f t="shared" si="5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8" t="s">
        <v>51</v>
      </c>
      <c r="B46" s="25" t="s">
        <v>55</v>
      </c>
      <c r="C46" s="12"/>
      <c r="D46" s="22">
        <f>VLOOKUP(B46,Config!$E$11:$F$50,2,FALSE())</f>
        <v>55</v>
      </c>
      <c r="E46" s="22">
        <f>SUMIFS('Lançamentos'!C:C,'Lançamentos'!B:B,"Despesa",'Lançamentos'!A:A,"&gt;="&amp;$B$4,'Lançamentos'!A:A,"&lt;="&amp;$D$4,'Lançamentos'!D:D,B46)</f>
        <v>0</v>
      </c>
      <c r="F46" s="22">
        <f t="shared" si="4"/>
        <v>55</v>
      </c>
      <c r="G46" s="26">
        <f t="shared" si="5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8" t="s">
        <v>51</v>
      </c>
      <c r="B47" s="25" t="s">
        <v>56</v>
      </c>
      <c r="C47" s="12"/>
      <c r="D47" s="22">
        <f>VLOOKUP(B47,Config!$E$11:$F$50,2,FALSE())</f>
        <v>60</v>
      </c>
      <c r="E47" s="22">
        <f>SUMIFS('Lançamentos'!C:C,'Lançamentos'!B:B,"Despesa",'Lançamentos'!A:A,"&gt;="&amp;$B$4,'Lançamentos'!A:A,"&lt;="&amp;$D$4,'Lançamentos'!D:D,B47)</f>
        <v>0</v>
      </c>
      <c r="F47" s="22">
        <f t="shared" si="4"/>
        <v>60</v>
      </c>
      <c r="G47" s="26">
        <f t="shared" si="5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8" t="s">
        <v>57</v>
      </c>
      <c r="B48" s="25" t="s">
        <v>58</v>
      </c>
      <c r="C48" s="12"/>
      <c r="D48" s="22">
        <f>VLOOKUP(B48,Config!$E$11:$F$50,2,FALSE())</f>
        <v>60</v>
      </c>
      <c r="E48" s="22">
        <f>SUMIFS('Lançamentos'!C:C,'Lançamentos'!B:B,"Despesa",'Lançamentos'!A:A,"&gt;="&amp;$B$4,'Lançamentos'!A:A,"&lt;="&amp;$D$4,'Lançamentos'!D:D,B48)</f>
        <v>0</v>
      </c>
      <c r="F48" s="22">
        <f t="shared" si="4"/>
        <v>60</v>
      </c>
      <c r="G48" s="26">
        <f t="shared" si="5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8" t="s">
        <v>57</v>
      </c>
      <c r="B49" s="25" t="s">
        <v>59</v>
      </c>
      <c r="C49" s="12"/>
      <c r="D49" s="22">
        <f>VLOOKUP(B49,Config!$E$11:$F$50,2,FALSE())</f>
        <v>60</v>
      </c>
      <c r="E49" s="22">
        <f>SUMIFS('Lançamentos'!C:C,'Lançamentos'!B:B,"Despesa",'Lançamentos'!A:A,"&gt;="&amp;$B$4,'Lançamentos'!A:A,"&lt;="&amp;$D$4,'Lançamentos'!D:D,B49)</f>
        <v>0</v>
      </c>
      <c r="F49" s="22">
        <f t="shared" si="4"/>
        <v>60</v>
      </c>
      <c r="G49" s="26">
        <f t="shared" si="5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8" t="s">
        <v>57</v>
      </c>
      <c r="B50" s="25" t="s">
        <v>60</v>
      </c>
      <c r="C50" s="12"/>
      <c r="D50" s="22">
        <f>VLOOKUP(B50,Config!$E$11:$F$50,2,FALSE())</f>
        <v>120</v>
      </c>
      <c r="E50" s="22">
        <f>SUMIFS('Lançamentos'!C:C,'Lançamentos'!B:B,"Despesa",'Lançamentos'!A:A,"&gt;="&amp;$B$4,'Lançamentos'!A:A,"&lt;="&amp;$D$4,'Lançamentos'!D:D,B50)</f>
        <v>0</v>
      </c>
      <c r="F50" s="22">
        <f t="shared" si="4"/>
        <v>120</v>
      </c>
      <c r="G50" s="26">
        <f t="shared" si="5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8" t="s">
        <v>57</v>
      </c>
      <c r="B51" s="25" t="s">
        <v>61</v>
      </c>
      <c r="C51" s="12"/>
      <c r="D51" s="22">
        <f>VLOOKUP(B51,Config!$E$11:$F$50,2,FALSE())</f>
        <v>80</v>
      </c>
      <c r="E51" s="22">
        <f>SUMIFS('Lançamentos'!C:C,'Lançamentos'!B:B,"Despesa",'Lançamentos'!A:A,"&gt;="&amp;$B$4,'Lançamentos'!A:A,"&lt;="&amp;$D$4,'Lançamentos'!D:D,B51)</f>
        <v>0</v>
      </c>
      <c r="F51" s="22">
        <f t="shared" si="4"/>
        <v>80</v>
      </c>
      <c r="G51" s="26">
        <f t="shared" si="5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8" t="s">
        <v>57</v>
      </c>
      <c r="B52" s="25" t="s">
        <v>62</v>
      </c>
      <c r="C52" s="12"/>
      <c r="D52" s="22">
        <f>VLOOKUP(B52,Config!$E$11:$F$50,2,FALSE())</f>
        <v>50</v>
      </c>
      <c r="E52" s="22">
        <f>SUMIFS('Lançamentos'!C:C,'Lançamentos'!B:B,"Despesa",'Lançamentos'!A:A,"&gt;="&amp;$B$4,'Lançamentos'!A:A,"&lt;="&amp;$D$4,'Lançamentos'!D:D,B52)</f>
        <v>0</v>
      </c>
      <c r="F52" s="22">
        <f t="shared" si="4"/>
        <v>50</v>
      </c>
      <c r="G52" s="26">
        <f t="shared" si="5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8" t="s">
        <v>57</v>
      </c>
      <c r="B53" s="25" t="s">
        <v>63</v>
      </c>
      <c r="C53" s="12"/>
      <c r="D53" s="22">
        <f>VLOOKUP(B53,Config!$E$11:$F$50,2,FALSE())</f>
        <v>120</v>
      </c>
      <c r="E53" s="22">
        <f>SUMIFS('Lançamentos'!C:C,'Lançamentos'!B:B,"Despesa",'Lançamentos'!A:A,"&gt;="&amp;$B$4,'Lançamentos'!A:A,"&lt;="&amp;$D$4,'Lançamentos'!D:D,B53)</f>
        <v>0</v>
      </c>
      <c r="F53" s="22">
        <f t="shared" si="4"/>
        <v>120</v>
      </c>
      <c r="G53" s="26">
        <f t="shared" si="5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8" t="s">
        <v>64</v>
      </c>
      <c r="B54" s="25" t="s">
        <v>65</v>
      </c>
      <c r="C54" s="12"/>
      <c r="D54" s="22">
        <f>VLOOKUP(B54,Config!$E$11:$F$50,2,FALSE())</f>
        <v>120</v>
      </c>
      <c r="E54" s="22">
        <f>SUMIFS('Lançamentos'!C:C,'Lançamentos'!B:B,"Despesa",'Lançamentos'!A:A,"&gt;="&amp;$B$4,'Lançamentos'!A:A,"&lt;="&amp;$D$4,'Lançamentos'!D:D,B54)</f>
        <v>0</v>
      </c>
      <c r="F54" s="22">
        <f t="shared" si="4"/>
        <v>120</v>
      </c>
      <c r="G54" s="26">
        <f t="shared" si="5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8" t="s">
        <v>64</v>
      </c>
      <c r="B55" s="25" t="s">
        <v>66</v>
      </c>
      <c r="C55" s="12"/>
      <c r="D55" s="22">
        <f>VLOOKUP(B55,Config!$E$11:$F$50,2,FALSE())</f>
        <v>50</v>
      </c>
      <c r="E55" s="22">
        <f>SUMIFS('Lançamentos'!C:C,'Lançamentos'!B:B,"Despesa",'Lançamentos'!A:A,"&gt;="&amp;$B$4,'Lançamentos'!A:A,"&lt;="&amp;$D$4,'Lançamentos'!D:D,B55)</f>
        <v>0</v>
      </c>
      <c r="F55" s="22">
        <f t="shared" si="4"/>
        <v>50</v>
      </c>
      <c r="G55" s="26">
        <f t="shared" si="5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8" t="s">
        <v>64</v>
      </c>
      <c r="B56" s="25" t="s">
        <v>67</v>
      </c>
      <c r="C56" s="12"/>
      <c r="D56" s="22">
        <f>VLOOKUP(B56,Config!$E$11:$F$50,2,FALSE())</f>
        <v>60</v>
      </c>
      <c r="E56" s="22">
        <f>SUMIFS('Lançamentos'!C:C,'Lançamentos'!B:B,"Despesa",'Lançamentos'!A:A,"&gt;="&amp;$B$4,'Lançamentos'!A:A,"&lt;="&amp;$D$4,'Lançamentos'!D:D,B56)</f>
        <v>0</v>
      </c>
      <c r="F56" s="22">
        <f t="shared" si="4"/>
        <v>60</v>
      </c>
      <c r="G56" s="26">
        <f t="shared" si="5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8" t="s">
        <v>64</v>
      </c>
      <c r="B57" s="25" t="s">
        <v>68</v>
      </c>
      <c r="C57" s="12"/>
      <c r="D57" s="22">
        <f>VLOOKUP(B57,Config!$E$11:$F$50,2,FALSE())</f>
        <v>150</v>
      </c>
      <c r="E57" s="22">
        <f>SUMIFS('Lançamentos'!C:C,'Lançamentos'!B:B,"Despesa",'Lançamentos'!A:A,"&gt;="&amp;$B$4,'Lançamentos'!A:A,"&lt;="&amp;$D$4,'Lançamentos'!D:D,B57)</f>
        <v>0</v>
      </c>
      <c r="F57" s="22">
        <f t="shared" si="4"/>
        <v>150</v>
      </c>
      <c r="G57" s="26">
        <f t="shared" si="5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8" t="s">
        <v>64</v>
      </c>
      <c r="B58" s="25" t="s">
        <v>69</v>
      </c>
      <c r="C58" s="12"/>
      <c r="D58" s="22">
        <f>VLOOKUP(B58,Config!$E$11:$F$50,2,FALSE())</f>
        <v>80</v>
      </c>
      <c r="E58" s="22">
        <f>SUMIFS('Lançamentos'!C:C,'Lançamentos'!B:B,"Despesa",'Lançamentos'!A:A,"&gt;="&amp;$B$4,'Lançamentos'!A:A,"&lt;="&amp;$D$4,'Lançamentos'!D:D,B58)</f>
        <v>0</v>
      </c>
      <c r="F58" s="22">
        <f t="shared" si="4"/>
        <v>80</v>
      </c>
      <c r="G58" s="26">
        <f t="shared" si="5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8" t="s">
        <v>64</v>
      </c>
      <c r="B59" s="25" t="s">
        <v>70</v>
      </c>
      <c r="C59" s="12"/>
      <c r="D59" s="22">
        <f>VLOOKUP(B59,Config!$E$11:$F$50,2,FALSE())</f>
        <v>100</v>
      </c>
      <c r="E59" s="22">
        <f>SUMIFS('Lançamentos'!C:C,'Lançamentos'!B:B,"Despesa",'Lançamentos'!A:A,"&gt;="&amp;$B$4,'Lançamentos'!A:A,"&lt;="&amp;$D$4,'Lançamentos'!D:D,B59)</f>
        <v>0</v>
      </c>
      <c r="F59" s="22">
        <f t="shared" si="4"/>
        <v>100</v>
      </c>
      <c r="G59" s="26">
        <f t="shared" si="5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8" t="s">
        <v>71</v>
      </c>
      <c r="B60" s="25" t="s">
        <v>72</v>
      </c>
      <c r="C60" s="12"/>
      <c r="D60" s="22">
        <f>VLOOKUP(B60,Config!$E$11:$F$50,2,FALSE())</f>
        <v>700</v>
      </c>
      <c r="E60" s="22">
        <f>SUMIFS('Lançamentos'!C:C,'Lançamentos'!B:B,"Despesa",'Lançamentos'!A:A,"&gt;="&amp;$B$4,'Lançamentos'!A:A,"&lt;="&amp;$D$4,'Lançamentos'!D:D,B60)</f>
        <v>0</v>
      </c>
      <c r="F60" s="22">
        <f t="shared" si="4"/>
        <v>700</v>
      </c>
      <c r="G60" s="26">
        <f t="shared" si="5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8" t="s">
        <v>71</v>
      </c>
      <c r="B61" s="25" t="s">
        <v>73</v>
      </c>
      <c r="C61" s="12"/>
      <c r="D61" s="22">
        <f>VLOOKUP(B61,Config!$E$11:$F$50,2,FALSE())</f>
        <v>200</v>
      </c>
      <c r="E61" s="22">
        <f>SUMIFS('Lançamentos'!C:C,'Lançamentos'!B:B,"Despesa",'Lançamentos'!A:A,"&gt;="&amp;$B$4,'Lançamentos'!A:A,"&lt;="&amp;$D$4,'Lançamentos'!D:D,B61)</f>
        <v>0</v>
      </c>
      <c r="F61" s="22">
        <f t="shared" si="4"/>
        <v>200</v>
      </c>
      <c r="G61" s="26">
        <f t="shared" si="5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8" t="s">
        <v>71</v>
      </c>
      <c r="B62" s="25" t="s">
        <v>74</v>
      </c>
      <c r="C62" s="12"/>
      <c r="D62" s="22">
        <f>VLOOKUP(B62,Config!$E$11:$F$50,2,FALSE())</f>
        <v>0</v>
      </c>
      <c r="E62" s="22">
        <f>SUMIFS('Lançamentos'!C:C,'Lançamentos'!B:B,"Despesa",'Lançamentos'!A:A,"&gt;="&amp;$B$4,'Lançamentos'!A:A,"&lt;="&amp;$D$4,'Lançamentos'!D:D,B62)</f>
        <v>0</v>
      </c>
      <c r="F62" s="22">
        <f t="shared" si="4"/>
        <v>0</v>
      </c>
      <c r="G62" s="26">
        <f t="shared" si="5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8" t="s">
        <v>75</v>
      </c>
      <c r="B63" s="25" t="s">
        <v>76</v>
      </c>
      <c r="C63" s="12"/>
      <c r="D63" s="22">
        <f>VLOOKUP(B63,Config!$E$11:$F$50,2,FALSE())</f>
        <v>0</v>
      </c>
      <c r="E63" s="22">
        <f>SUMIFS('Lançamentos'!C:C,'Lançamentos'!B:B,"Despesa",'Lançamentos'!A:A,"&gt;="&amp;$B$4,'Lançamentos'!A:A,"&lt;="&amp;$D$4,'Lançamentos'!D:D,B63)</f>
        <v>0</v>
      </c>
      <c r="F63" s="22">
        <f t="shared" si="4"/>
        <v>0</v>
      </c>
      <c r="G63" s="26">
        <f t="shared" si="5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9" t="s">
        <v>77</v>
      </c>
      <c r="B64" s="30"/>
      <c r="C64" s="31"/>
      <c r="D64" s="19">
        <f t="shared" ref="D64:E64" si="6">SUM(D26:D63)</f>
        <v>8155</v>
      </c>
      <c r="E64" s="19">
        <f t="shared" si="6"/>
        <v>19</v>
      </c>
      <c r="F64" s="19">
        <f t="shared" si="4"/>
        <v>8136</v>
      </c>
      <c r="G64" s="20">
        <f t="shared" si="5"/>
        <v>0.002329858982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0">
    <mergeCell ref="B60:C60"/>
    <mergeCell ref="B61:C61"/>
    <mergeCell ref="B62:C62"/>
    <mergeCell ref="B63:C63"/>
    <mergeCell ref="B53:C53"/>
    <mergeCell ref="B54:C54"/>
    <mergeCell ref="B55:C55"/>
    <mergeCell ref="B56:C56"/>
    <mergeCell ref="B57:C57"/>
    <mergeCell ref="B58:C58"/>
    <mergeCell ref="B59:C59"/>
    <mergeCell ref="A1:G1"/>
    <mergeCell ref="C3:G3"/>
    <mergeCell ref="A6:G6"/>
    <mergeCell ref="A7:C7"/>
    <mergeCell ref="A8:C8"/>
    <mergeCell ref="A9:C9"/>
    <mergeCell ref="A10:C10"/>
    <mergeCell ref="A12:G12"/>
    <mergeCell ref="A13:D13"/>
    <mergeCell ref="A14:D14"/>
    <mergeCell ref="A15:D15"/>
    <mergeCell ref="A16:D16"/>
    <mergeCell ref="A17:G17"/>
    <mergeCell ref="A19:G19"/>
    <mergeCell ref="A20:B20"/>
    <mergeCell ref="E20:G20"/>
    <mergeCell ref="A21:B21"/>
    <mergeCell ref="E21:G21"/>
    <mergeCell ref="A22:B22"/>
    <mergeCell ref="E22:G22"/>
    <mergeCell ref="A24:G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conditionalFormatting sqref="G26:G62">
    <cfRule type="cellIs" dxfId="0" priority="1" operator="lessThanOrEqual">
      <formula>0.7</formula>
    </cfRule>
  </conditionalFormatting>
  <conditionalFormatting sqref="G26:G62">
    <cfRule type="cellIs" dxfId="1" priority="2" operator="between">
      <formula>0.7001</formula>
      <formula>1</formula>
    </cfRule>
  </conditionalFormatting>
  <conditionalFormatting sqref="G26:G62">
    <cfRule type="cellIs" dxfId="2" priority="3" operator="greaterThan">
      <formula>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10.0"/>
    <col customWidth="1" min="3" max="3" width="13.0"/>
    <col customWidth="1" min="4" max="4" width="28.0"/>
    <col customWidth="1" min="5" max="5" width="11.0"/>
    <col customWidth="1" min="6" max="6" width="22.0"/>
    <col customWidth="1" min="7" max="7" width="34.0"/>
  </cols>
  <sheetData>
    <row r="1" ht="25.5" customHeight="1">
      <c r="A1" s="1" t="s">
        <v>78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24" t="s">
        <v>79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3" t="s">
        <v>80</v>
      </c>
      <c r="B5" s="13" t="s">
        <v>81</v>
      </c>
      <c r="C5" s="13" t="s">
        <v>82</v>
      </c>
      <c r="D5" s="13" t="s">
        <v>29</v>
      </c>
      <c r="E5" s="13" t="s">
        <v>21</v>
      </c>
      <c r="F5" s="13" t="s">
        <v>83</v>
      </c>
      <c r="G5" s="13" t="s">
        <v>84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32"/>
      <c r="B6" s="33"/>
      <c r="C6" s="34"/>
      <c r="D6" s="33"/>
      <c r="E6" s="33"/>
      <c r="F6" s="33"/>
      <c r="G6" s="33" t="s">
        <v>85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35">
        <v>46136.0914890625</v>
      </c>
      <c r="B7" s="36" t="s">
        <v>86</v>
      </c>
      <c r="C7" s="37">
        <v>19.0</v>
      </c>
      <c r="D7" s="36" t="s">
        <v>44</v>
      </c>
      <c r="E7" s="36" t="s">
        <v>25</v>
      </c>
      <c r="F7" s="36" t="s">
        <v>87</v>
      </c>
      <c r="G7" s="3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32"/>
      <c r="B8" s="33"/>
      <c r="C8" s="22"/>
      <c r="D8" s="33"/>
      <c r="E8" s="33"/>
      <c r="F8" s="33"/>
      <c r="G8" s="3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32"/>
      <c r="B9" s="33"/>
      <c r="C9" s="22"/>
      <c r="D9" s="33"/>
      <c r="E9" s="33"/>
      <c r="F9" s="33"/>
      <c r="G9" s="3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32"/>
      <c r="B10" s="33"/>
      <c r="C10" s="22"/>
      <c r="D10" s="33"/>
      <c r="E10" s="33"/>
      <c r="F10" s="33"/>
      <c r="G10" s="3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32"/>
      <c r="B11" s="33"/>
      <c r="C11" s="22"/>
      <c r="D11" s="33"/>
      <c r="E11" s="33"/>
      <c r="F11" s="33"/>
      <c r="G11" s="3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32"/>
      <c r="B12" s="33"/>
      <c r="C12" s="22"/>
      <c r="D12" s="33"/>
      <c r="E12" s="33"/>
      <c r="F12" s="33"/>
      <c r="G12" s="3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32"/>
      <c r="B13" s="33"/>
      <c r="C13" s="22"/>
      <c r="D13" s="33"/>
      <c r="E13" s="33"/>
      <c r="F13" s="33"/>
      <c r="G13" s="3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32"/>
      <c r="B14" s="33"/>
      <c r="C14" s="22"/>
      <c r="D14" s="33"/>
      <c r="E14" s="33"/>
      <c r="F14" s="33"/>
      <c r="G14" s="3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32"/>
      <c r="B15" s="33"/>
      <c r="C15" s="22"/>
      <c r="D15" s="33"/>
      <c r="E15" s="33"/>
      <c r="F15" s="33"/>
      <c r="G15" s="3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38"/>
      <c r="B16" s="39"/>
      <c r="C16" s="40"/>
      <c r="D16" s="39"/>
      <c r="E16" s="39"/>
      <c r="F16" s="39"/>
      <c r="G16" s="3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32"/>
      <c r="B17" s="33"/>
      <c r="C17" s="22"/>
      <c r="D17" s="33"/>
      <c r="E17" s="33"/>
      <c r="F17" s="33"/>
      <c r="G17" s="3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38"/>
      <c r="B18" s="39"/>
      <c r="C18" s="40"/>
      <c r="D18" s="39"/>
      <c r="E18" s="39"/>
      <c r="F18" s="39"/>
      <c r="G18" s="3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32"/>
      <c r="B19" s="33"/>
      <c r="C19" s="22"/>
      <c r="D19" s="33"/>
      <c r="E19" s="33"/>
      <c r="F19" s="33"/>
      <c r="G19" s="3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38"/>
      <c r="B20" s="39"/>
      <c r="C20" s="40"/>
      <c r="D20" s="39"/>
      <c r="E20" s="39"/>
      <c r="F20" s="39"/>
      <c r="G20" s="3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2"/>
      <c r="B21" s="33"/>
      <c r="C21" s="22"/>
      <c r="D21" s="33"/>
      <c r="E21" s="33"/>
      <c r="F21" s="33"/>
      <c r="G21" s="3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8"/>
      <c r="B22" s="39"/>
      <c r="C22" s="40"/>
      <c r="D22" s="39"/>
      <c r="E22" s="39"/>
      <c r="F22" s="39"/>
      <c r="G22" s="3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2"/>
      <c r="B23" s="33"/>
      <c r="C23" s="22"/>
      <c r="D23" s="33"/>
      <c r="E23" s="33"/>
      <c r="F23" s="33"/>
      <c r="G23" s="3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8"/>
      <c r="B24" s="39"/>
      <c r="C24" s="40"/>
      <c r="D24" s="39"/>
      <c r="E24" s="39"/>
      <c r="F24" s="39"/>
      <c r="G24" s="3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2"/>
      <c r="B25" s="33"/>
      <c r="C25" s="22"/>
      <c r="D25" s="33"/>
      <c r="E25" s="33"/>
      <c r="F25" s="33"/>
      <c r="G25" s="3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/>
      <c r="B26" s="39"/>
      <c r="C26" s="40"/>
      <c r="D26" s="39"/>
      <c r="E26" s="39"/>
      <c r="F26" s="39"/>
      <c r="G26" s="39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2"/>
      <c r="B27" s="33"/>
      <c r="C27" s="22"/>
      <c r="D27" s="33"/>
      <c r="E27" s="33"/>
      <c r="F27" s="33"/>
      <c r="G27" s="3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8"/>
      <c r="B28" s="39"/>
      <c r="C28" s="40"/>
      <c r="D28" s="39"/>
      <c r="E28" s="39"/>
      <c r="F28" s="39"/>
      <c r="G28" s="39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2"/>
      <c r="B29" s="33"/>
      <c r="C29" s="22"/>
      <c r="D29" s="33"/>
      <c r="E29" s="33"/>
      <c r="F29" s="33"/>
      <c r="G29" s="3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/>
      <c r="B30" s="39"/>
      <c r="C30" s="40"/>
      <c r="D30" s="39"/>
      <c r="E30" s="39"/>
      <c r="F30" s="39"/>
      <c r="G30" s="3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2"/>
      <c r="B31" s="33"/>
      <c r="C31" s="22"/>
      <c r="D31" s="33"/>
      <c r="E31" s="33"/>
      <c r="F31" s="33"/>
      <c r="G31" s="3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8"/>
      <c r="B32" s="39"/>
      <c r="C32" s="40"/>
      <c r="D32" s="39"/>
      <c r="E32" s="39"/>
      <c r="F32" s="39"/>
      <c r="G32" s="3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2"/>
      <c r="B33" s="33"/>
      <c r="C33" s="22"/>
      <c r="D33" s="33"/>
      <c r="E33" s="33"/>
      <c r="F33" s="33"/>
      <c r="G33" s="3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8"/>
      <c r="B34" s="39"/>
      <c r="C34" s="40"/>
      <c r="D34" s="39"/>
      <c r="E34" s="39"/>
      <c r="F34" s="39"/>
      <c r="G34" s="39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2"/>
      <c r="B35" s="33"/>
      <c r="C35" s="22"/>
      <c r="D35" s="33"/>
      <c r="E35" s="33"/>
      <c r="F35" s="33"/>
      <c r="G35" s="3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8"/>
      <c r="B36" s="39"/>
      <c r="C36" s="40"/>
      <c r="D36" s="39"/>
      <c r="E36" s="39"/>
      <c r="F36" s="39"/>
      <c r="G36" s="3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2"/>
      <c r="B37" s="33"/>
      <c r="C37" s="22"/>
      <c r="D37" s="33"/>
      <c r="E37" s="33"/>
      <c r="F37" s="33"/>
      <c r="G37" s="3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8"/>
      <c r="B38" s="39"/>
      <c r="C38" s="40"/>
      <c r="D38" s="39"/>
      <c r="E38" s="39"/>
      <c r="F38" s="39"/>
      <c r="G38" s="3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2"/>
      <c r="B39" s="33"/>
      <c r="C39" s="22"/>
      <c r="D39" s="33"/>
      <c r="E39" s="33"/>
      <c r="F39" s="33"/>
      <c r="G39" s="3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8"/>
      <c r="B40" s="39"/>
      <c r="C40" s="40"/>
      <c r="D40" s="39"/>
      <c r="E40" s="39"/>
      <c r="F40" s="39"/>
      <c r="G40" s="39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2"/>
      <c r="B41" s="33"/>
      <c r="C41" s="22"/>
      <c r="D41" s="33"/>
      <c r="E41" s="33"/>
      <c r="F41" s="33"/>
      <c r="G41" s="3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8"/>
      <c r="B42" s="39"/>
      <c r="C42" s="40"/>
      <c r="D42" s="39"/>
      <c r="E42" s="39"/>
      <c r="F42" s="39"/>
      <c r="G42" s="39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2"/>
      <c r="B43" s="33"/>
      <c r="C43" s="22"/>
      <c r="D43" s="33"/>
      <c r="E43" s="33"/>
      <c r="F43" s="33"/>
      <c r="G43" s="3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8"/>
      <c r="B44" s="39"/>
      <c r="C44" s="40"/>
      <c r="D44" s="39"/>
      <c r="E44" s="39"/>
      <c r="F44" s="39"/>
      <c r="G44" s="39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2"/>
      <c r="B45" s="33"/>
      <c r="C45" s="22"/>
      <c r="D45" s="33"/>
      <c r="E45" s="33"/>
      <c r="F45" s="33"/>
      <c r="G45" s="3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8"/>
      <c r="B46" s="39"/>
      <c r="C46" s="40"/>
      <c r="D46" s="39"/>
      <c r="E46" s="39"/>
      <c r="F46" s="39"/>
      <c r="G46" s="39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2"/>
      <c r="B47" s="33"/>
      <c r="C47" s="22"/>
      <c r="D47" s="33"/>
      <c r="E47" s="33"/>
      <c r="F47" s="33"/>
      <c r="G47" s="3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8"/>
      <c r="B48" s="39"/>
      <c r="C48" s="40"/>
      <c r="D48" s="39"/>
      <c r="E48" s="39"/>
      <c r="F48" s="39"/>
      <c r="G48" s="39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2"/>
      <c r="B49" s="33"/>
      <c r="C49" s="22"/>
      <c r="D49" s="33"/>
      <c r="E49" s="33"/>
      <c r="F49" s="33"/>
      <c r="G49" s="3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8"/>
      <c r="B50" s="39"/>
      <c r="C50" s="40"/>
      <c r="D50" s="39"/>
      <c r="E50" s="39"/>
      <c r="F50" s="39"/>
      <c r="G50" s="39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2"/>
      <c r="B51" s="33"/>
      <c r="C51" s="22"/>
      <c r="D51" s="33"/>
      <c r="E51" s="33"/>
      <c r="F51" s="33"/>
      <c r="G51" s="3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8"/>
      <c r="B52" s="39"/>
      <c r="C52" s="40"/>
      <c r="D52" s="39"/>
      <c r="E52" s="39"/>
      <c r="F52" s="39"/>
      <c r="G52" s="39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2"/>
      <c r="B53" s="33"/>
      <c r="C53" s="22"/>
      <c r="D53" s="33"/>
      <c r="E53" s="33"/>
      <c r="F53" s="33"/>
      <c r="G53" s="3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8"/>
      <c r="B54" s="39"/>
      <c r="C54" s="40"/>
      <c r="D54" s="39"/>
      <c r="E54" s="39"/>
      <c r="F54" s="39"/>
      <c r="G54" s="3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2"/>
      <c r="B55" s="33"/>
      <c r="C55" s="22"/>
      <c r="D55" s="33"/>
      <c r="E55" s="33"/>
      <c r="F55" s="33"/>
      <c r="G55" s="3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8"/>
      <c r="B56" s="39"/>
      <c r="C56" s="40"/>
      <c r="D56" s="39"/>
      <c r="E56" s="39"/>
      <c r="F56" s="39"/>
      <c r="G56" s="39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2"/>
      <c r="B57" s="33"/>
      <c r="C57" s="22"/>
      <c r="D57" s="33"/>
      <c r="E57" s="33"/>
      <c r="F57" s="33"/>
      <c r="G57" s="3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8"/>
      <c r="B58" s="39"/>
      <c r="C58" s="40"/>
      <c r="D58" s="39"/>
      <c r="E58" s="39"/>
      <c r="F58" s="39"/>
      <c r="G58" s="39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/>
      <c r="B59" s="33"/>
      <c r="C59" s="22"/>
      <c r="D59" s="33"/>
      <c r="E59" s="33"/>
      <c r="F59" s="33"/>
      <c r="G59" s="3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8"/>
      <c r="B60" s="39"/>
      <c r="C60" s="40"/>
      <c r="D60" s="39"/>
      <c r="E60" s="39"/>
      <c r="F60" s="39"/>
      <c r="G60" s="39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/>
      <c r="B61" s="33"/>
      <c r="C61" s="22"/>
      <c r="D61" s="33"/>
      <c r="E61" s="33"/>
      <c r="F61" s="33"/>
      <c r="G61" s="3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8"/>
      <c r="B62" s="39"/>
      <c r="C62" s="40"/>
      <c r="D62" s="39"/>
      <c r="E62" s="39"/>
      <c r="F62" s="39"/>
      <c r="G62" s="39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/>
      <c r="B63" s="33"/>
      <c r="C63" s="22"/>
      <c r="D63" s="33"/>
      <c r="E63" s="33"/>
      <c r="F63" s="33"/>
      <c r="G63" s="3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8"/>
      <c r="B64" s="39"/>
      <c r="C64" s="40"/>
      <c r="D64" s="39"/>
      <c r="E64" s="39"/>
      <c r="F64" s="39"/>
      <c r="G64" s="39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/>
      <c r="B65" s="33"/>
      <c r="C65" s="22"/>
      <c r="D65" s="33"/>
      <c r="E65" s="33"/>
      <c r="F65" s="33"/>
      <c r="G65" s="3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8"/>
      <c r="B66" s="39"/>
      <c r="C66" s="40"/>
      <c r="D66" s="39"/>
      <c r="E66" s="39"/>
      <c r="F66" s="39"/>
      <c r="G66" s="39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/>
      <c r="B67" s="33"/>
      <c r="C67" s="22"/>
      <c r="D67" s="33"/>
      <c r="E67" s="33"/>
      <c r="F67" s="33"/>
      <c r="G67" s="3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8"/>
      <c r="B68" s="39"/>
      <c r="C68" s="40"/>
      <c r="D68" s="39"/>
      <c r="E68" s="39"/>
      <c r="F68" s="39"/>
      <c r="G68" s="3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/>
      <c r="B69" s="33"/>
      <c r="C69" s="22"/>
      <c r="D69" s="33"/>
      <c r="E69" s="33"/>
      <c r="F69" s="33"/>
      <c r="G69" s="3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8"/>
      <c r="B70" s="39"/>
      <c r="C70" s="40"/>
      <c r="D70" s="39"/>
      <c r="E70" s="39"/>
      <c r="F70" s="39"/>
      <c r="G70" s="39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/>
      <c r="B71" s="33"/>
      <c r="C71" s="22"/>
      <c r="D71" s="33"/>
      <c r="E71" s="33"/>
      <c r="F71" s="33"/>
      <c r="G71" s="3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8"/>
      <c r="B72" s="39"/>
      <c r="C72" s="40"/>
      <c r="D72" s="39"/>
      <c r="E72" s="39"/>
      <c r="F72" s="39"/>
      <c r="G72" s="39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/>
      <c r="B73" s="33"/>
      <c r="C73" s="22"/>
      <c r="D73" s="33"/>
      <c r="E73" s="33"/>
      <c r="F73" s="33"/>
      <c r="G73" s="3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8"/>
      <c r="B74" s="39"/>
      <c r="C74" s="40"/>
      <c r="D74" s="39"/>
      <c r="E74" s="39"/>
      <c r="F74" s="39"/>
      <c r="G74" s="39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/>
      <c r="B75" s="33"/>
      <c r="C75" s="22"/>
      <c r="D75" s="33"/>
      <c r="E75" s="33"/>
      <c r="F75" s="33"/>
      <c r="G75" s="3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8"/>
      <c r="B76" s="39"/>
      <c r="C76" s="40"/>
      <c r="D76" s="39"/>
      <c r="E76" s="39"/>
      <c r="F76" s="39"/>
      <c r="G76" s="39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/>
      <c r="B77" s="33"/>
      <c r="C77" s="22"/>
      <c r="D77" s="33"/>
      <c r="E77" s="33"/>
      <c r="F77" s="33"/>
      <c r="G77" s="3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8"/>
      <c r="B78" s="39"/>
      <c r="C78" s="40"/>
      <c r="D78" s="39"/>
      <c r="E78" s="39"/>
      <c r="F78" s="39"/>
      <c r="G78" s="39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/>
      <c r="B79" s="33"/>
      <c r="C79" s="22"/>
      <c r="D79" s="33"/>
      <c r="E79" s="33"/>
      <c r="F79" s="33"/>
      <c r="G79" s="3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8"/>
      <c r="B80" s="39"/>
      <c r="C80" s="40"/>
      <c r="D80" s="39"/>
      <c r="E80" s="39"/>
      <c r="F80" s="39"/>
      <c r="G80" s="39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/>
      <c r="B81" s="33"/>
      <c r="C81" s="22"/>
      <c r="D81" s="33"/>
      <c r="E81" s="33"/>
      <c r="F81" s="33"/>
      <c r="G81" s="3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8"/>
      <c r="B82" s="39"/>
      <c r="C82" s="40"/>
      <c r="D82" s="39"/>
      <c r="E82" s="39"/>
      <c r="F82" s="39"/>
      <c r="G82" s="39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/>
      <c r="B83" s="33"/>
      <c r="C83" s="22"/>
      <c r="D83" s="33"/>
      <c r="E83" s="33"/>
      <c r="F83" s="33"/>
      <c r="G83" s="3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8"/>
      <c r="B84" s="39"/>
      <c r="C84" s="40"/>
      <c r="D84" s="39"/>
      <c r="E84" s="39"/>
      <c r="F84" s="39"/>
      <c r="G84" s="39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/>
      <c r="B85" s="33"/>
      <c r="C85" s="22"/>
      <c r="D85" s="33"/>
      <c r="E85" s="33"/>
      <c r="F85" s="33"/>
      <c r="G85" s="3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8"/>
      <c r="B86" s="39"/>
      <c r="C86" s="40"/>
      <c r="D86" s="39"/>
      <c r="E86" s="39"/>
      <c r="F86" s="39"/>
      <c r="G86" s="39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/>
      <c r="B87" s="33"/>
      <c r="C87" s="22"/>
      <c r="D87" s="33"/>
      <c r="E87" s="33"/>
      <c r="F87" s="33"/>
      <c r="G87" s="3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8"/>
      <c r="B88" s="39"/>
      <c r="C88" s="40"/>
      <c r="D88" s="39"/>
      <c r="E88" s="39"/>
      <c r="F88" s="39"/>
      <c r="G88" s="3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/>
      <c r="B89" s="33"/>
      <c r="C89" s="22"/>
      <c r="D89" s="33"/>
      <c r="E89" s="33"/>
      <c r="F89" s="33"/>
      <c r="G89" s="3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8"/>
      <c r="B90" s="39"/>
      <c r="C90" s="40"/>
      <c r="D90" s="39"/>
      <c r="E90" s="39"/>
      <c r="F90" s="39"/>
      <c r="G90" s="39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/>
      <c r="B91" s="33"/>
      <c r="C91" s="22"/>
      <c r="D91" s="33"/>
      <c r="E91" s="33"/>
      <c r="F91" s="33"/>
      <c r="G91" s="3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8"/>
      <c r="B92" s="39"/>
      <c r="C92" s="40"/>
      <c r="D92" s="39"/>
      <c r="E92" s="39"/>
      <c r="F92" s="39"/>
      <c r="G92" s="39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/>
      <c r="B93" s="33"/>
      <c r="C93" s="22"/>
      <c r="D93" s="33"/>
      <c r="E93" s="33"/>
      <c r="F93" s="33"/>
      <c r="G93" s="3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8"/>
      <c r="B94" s="39"/>
      <c r="C94" s="40"/>
      <c r="D94" s="39"/>
      <c r="E94" s="39"/>
      <c r="F94" s="39"/>
      <c r="G94" s="39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/>
      <c r="B95" s="33"/>
      <c r="C95" s="22"/>
      <c r="D95" s="33"/>
      <c r="E95" s="33"/>
      <c r="F95" s="33"/>
      <c r="G95" s="3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8"/>
      <c r="B96" s="39"/>
      <c r="C96" s="40"/>
      <c r="D96" s="39"/>
      <c r="E96" s="39"/>
      <c r="F96" s="39"/>
      <c r="G96" s="39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/>
      <c r="B97" s="33"/>
      <c r="C97" s="22"/>
      <c r="D97" s="33"/>
      <c r="E97" s="33"/>
      <c r="F97" s="33"/>
      <c r="G97" s="3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8"/>
      <c r="B98" s="39"/>
      <c r="C98" s="40"/>
      <c r="D98" s="39"/>
      <c r="E98" s="39"/>
      <c r="F98" s="39"/>
      <c r="G98" s="39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/>
      <c r="B99" s="33"/>
      <c r="C99" s="22"/>
      <c r="D99" s="33"/>
      <c r="E99" s="33"/>
      <c r="F99" s="33"/>
      <c r="G99" s="3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8"/>
      <c r="B100" s="39"/>
      <c r="C100" s="40"/>
      <c r="D100" s="39"/>
      <c r="E100" s="39"/>
      <c r="F100" s="39"/>
      <c r="G100" s="3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/>
      <c r="B101" s="33"/>
      <c r="C101" s="22"/>
      <c r="D101" s="33"/>
      <c r="E101" s="33"/>
      <c r="F101" s="33"/>
      <c r="G101" s="3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8"/>
      <c r="B102" s="39"/>
      <c r="C102" s="40"/>
      <c r="D102" s="39"/>
      <c r="E102" s="39"/>
      <c r="F102" s="39"/>
      <c r="G102" s="39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/>
      <c r="B103" s="33"/>
      <c r="C103" s="22"/>
      <c r="D103" s="33"/>
      <c r="E103" s="33"/>
      <c r="F103" s="33"/>
      <c r="G103" s="3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8"/>
      <c r="B104" s="39"/>
      <c r="C104" s="40"/>
      <c r="D104" s="39"/>
      <c r="E104" s="39"/>
      <c r="F104" s="39"/>
      <c r="G104" s="39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/>
      <c r="B105" s="33"/>
      <c r="C105" s="22"/>
      <c r="D105" s="33"/>
      <c r="E105" s="33"/>
      <c r="F105" s="33"/>
      <c r="G105" s="3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8"/>
      <c r="B106" s="39"/>
      <c r="C106" s="40"/>
      <c r="D106" s="39"/>
      <c r="E106" s="39"/>
      <c r="F106" s="39"/>
      <c r="G106" s="39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/>
      <c r="B107" s="33"/>
      <c r="C107" s="22"/>
      <c r="D107" s="33"/>
      <c r="E107" s="33"/>
      <c r="F107" s="33"/>
      <c r="G107" s="3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8"/>
      <c r="B108" s="39"/>
      <c r="C108" s="40"/>
      <c r="D108" s="39"/>
      <c r="E108" s="39"/>
      <c r="F108" s="39"/>
      <c r="G108" s="39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/>
      <c r="B109" s="33"/>
      <c r="C109" s="22"/>
      <c r="D109" s="33"/>
      <c r="E109" s="33"/>
      <c r="F109" s="33"/>
      <c r="G109" s="3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8"/>
      <c r="B110" s="39"/>
      <c r="C110" s="40"/>
      <c r="D110" s="39"/>
      <c r="E110" s="39"/>
      <c r="F110" s="39"/>
      <c r="G110" s="39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/>
      <c r="B111" s="33"/>
      <c r="C111" s="22"/>
      <c r="D111" s="33"/>
      <c r="E111" s="33"/>
      <c r="F111" s="33"/>
      <c r="G111" s="3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8"/>
      <c r="B112" s="39"/>
      <c r="C112" s="40"/>
      <c r="D112" s="39"/>
      <c r="E112" s="39"/>
      <c r="F112" s="39"/>
      <c r="G112" s="39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/>
      <c r="B113" s="33"/>
      <c r="C113" s="22"/>
      <c r="D113" s="33"/>
      <c r="E113" s="33"/>
      <c r="F113" s="33"/>
      <c r="G113" s="3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8"/>
      <c r="B114" s="39"/>
      <c r="C114" s="40"/>
      <c r="D114" s="39"/>
      <c r="E114" s="39"/>
      <c r="F114" s="39"/>
      <c r="G114" s="39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/>
      <c r="B115" s="33"/>
      <c r="C115" s="22"/>
      <c r="D115" s="33"/>
      <c r="E115" s="33"/>
      <c r="F115" s="33"/>
      <c r="G115" s="3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8"/>
      <c r="B116" s="39"/>
      <c r="C116" s="40"/>
      <c r="D116" s="39"/>
      <c r="E116" s="39"/>
      <c r="F116" s="39"/>
      <c r="G116" s="39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/>
      <c r="B117" s="33"/>
      <c r="C117" s="22"/>
      <c r="D117" s="33"/>
      <c r="E117" s="33"/>
      <c r="F117" s="33"/>
      <c r="G117" s="3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8"/>
      <c r="B118" s="39"/>
      <c r="C118" s="40"/>
      <c r="D118" s="39"/>
      <c r="E118" s="39"/>
      <c r="F118" s="39"/>
      <c r="G118" s="39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/>
      <c r="B119" s="33"/>
      <c r="C119" s="22"/>
      <c r="D119" s="33"/>
      <c r="E119" s="33"/>
      <c r="F119" s="33"/>
      <c r="G119" s="3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8"/>
      <c r="B120" s="39"/>
      <c r="C120" s="40"/>
      <c r="D120" s="39"/>
      <c r="E120" s="39"/>
      <c r="F120" s="39"/>
      <c r="G120" s="39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/>
      <c r="B121" s="33"/>
      <c r="C121" s="22"/>
      <c r="D121" s="33"/>
      <c r="E121" s="33"/>
      <c r="F121" s="33"/>
      <c r="G121" s="3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8"/>
      <c r="B122" s="39"/>
      <c r="C122" s="40"/>
      <c r="D122" s="39"/>
      <c r="E122" s="39"/>
      <c r="F122" s="39"/>
      <c r="G122" s="3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/>
      <c r="B123" s="33"/>
      <c r="C123" s="22"/>
      <c r="D123" s="33"/>
      <c r="E123" s="33"/>
      <c r="F123" s="33"/>
      <c r="G123" s="3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8"/>
      <c r="B124" s="39"/>
      <c r="C124" s="40"/>
      <c r="D124" s="39"/>
      <c r="E124" s="39"/>
      <c r="F124" s="39"/>
      <c r="G124" s="39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/>
      <c r="B125" s="33"/>
      <c r="C125" s="22"/>
      <c r="D125" s="33"/>
      <c r="E125" s="33"/>
      <c r="F125" s="33"/>
      <c r="G125" s="3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8"/>
      <c r="B126" s="39"/>
      <c r="C126" s="40"/>
      <c r="D126" s="39"/>
      <c r="E126" s="39"/>
      <c r="F126" s="39"/>
      <c r="G126" s="39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/>
      <c r="B127" s="33"/>
      <c r="C127" s="22"/>
      <c r="D127" s="33"/>
      <c r="E127" s="33"/>
      <c r="F127" s="33"/>
      <c r="G127" s="3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8"/>
      <c r="B128" s="39"/>
      <c r="C128" s="40"/>
      <c r="D128" s="39"/>
      <c r="E128" s="39"/>
      <c r="F128" s="39"/>
      <c r="G128" s="39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/>
      <c r="B129" s="33"/>
      <c r="C129" s="22"/>
      <c r="D129" s="33"/>
      <c r="E129" s="33"/>
      <c r="F129" s="33"/>
      <c r="G129" s="3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8"/>
      <c r="B130" s="39"/>
      <c r="C130" s="40"/>
      <c r="D130" s="39"/>
      <c r="E130" s="39"/>
      <c r="F130" s="39"/>
      <c r="G130" s="39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/>
      <c r="B131" s="33"/>
      <c r="C131" s="22"/>
      <c r="D131" s="33"/>
      <c r="E131" s="33"/>
      <c r="F131" s="33"/>
      <c r="G131" s="3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8"/>
      <c r="B132" s="39"/>
      <c r="C132" s="40"/>
      <c r="D132" s="39"/>
      <c r="E132" s="39"/>
      <c r="F132" s="39"/>
      <c r="G132" s="39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/>
      <c r="B133" s="33"/>
      <c r="C133" s="22"/>
      <c r="D133" s="33"/>
      <c r="E133" s="33"/>
      <c r="F133" s="33"/>
      <c r="G133" s="3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8"/>
      <c r="B134" s="39"/>
      <c r="C134" s="40"/>
      <c r="D134" s="39"/>
      <c r="E134" s="39"/>
      <c r="F134" s="39"/>
      <c r="G134" s="39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/>
      <c r="B135" s="33"/>
      <c r="C135" s="22"/>
      <c r="D135" s="33"/>
      <c r="E135" s="33"/>
      <c r="F135" s="33"/>
      <c r="G135" s="3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8"/>
      <c r="B136" s="39"/>
      <c r="C136" s="40"/>
      <c r="D136" s="39"/>
      <c r="E136" s="39"/>
      <c r="F136" s="39"/>
      <c r="G136" s="39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/>
      <c r="B137" s="33"/>
      <c r="C137" s="22"/>
      <c r="D137" s="33"/>
      <c r="E137" s="33"/>
      <c r="F137" s="33"/>
      <c r="G137" s="3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8"/>
      <c r="B138" s="39"/>
      <c r="C138" s="40"/>
      <c r="D138" s="39"/>
      <c r="E138" s="39"/>
      <c r="F138" s="39"/>
      <c r="G138" s="39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/>
      <c r="B139" s="33"/>
      <c r="C139" s="22"/>
      <c r="D139" s="33"/>
      <c r="E139" s="33"/>
      <c r="F139" s="33"/>
      <c r="G139" s="3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8"/>
      <c r="B140" s="39"/>
      <c r="C140" s="40"/>
      <c r="D140" s="39"/>
      <c r="E140" s="39"/>
      <c r="F140" s="39"/>
      <c r="G140" s="39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/>
      <c r="B141" s="33"/>
      <c r="C141" s="22"/>
      <c r="D141" s="33"/>
      <c r="E141" s="33"/>
      <c r="F141" s="33"/>
      <c r="G141" s="3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8"/>
      <c r="B142" s="39"/>
      <c r="C142" s="40"/>
      <c r="D142" s="39"/>
      <c r="E142" s="39"/>
      <c r="F142" s="39"/>
      <c r="G142" s="39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/>
      <c r="B143" s="33"/>
      <c r="C143" s="22"/>
      <c r="D143" s="33"/>
      <c r="E143" s="33"/>
      <c r="F143" s="33"/>
      <c r="G143" s="3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8"/>
      <c r="B144" s="39"/>
      <c r="C144" s="40"/>
      <c r="D144" s="39"/>
      <c r="E144" s="39"/>
      <c r="F144" s="39"/>
      <c r="G144" s="39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/>
      <c r="B145" s="33"/>
      <c r="C145" s="22"/>
      <c r="D145" s="33"/>
      <c r="E145" s="33"/>
      <c r="F145" s="33"/>
      <c r="G145" s="3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8"/>
      <c r="B146" s="39"/>
      <c r="C146" s="40"/>
      <c r="D146" s="39"/>
      <c r="E146" s="39"/>
      <c r="F146" s="39"/>
      <c r="G146" s="39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/>
      <c r="B147" s="33"/>
      <c r="C147" s="22"/>
      <c r="D147" s="33"/>
      <c r="E147" s="33"/>
      <c r="F147" s="33"/>
      <c r="G147" s="3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8"/>
      <c r="B148" s="39"/>
      <c r="C148" s="40"/>
      <c r="D148" s="39"/>
      <c r="E148" s="39"/>
      <c r="F148" s="39"/>
      <c r="G148" s="39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/>
      <c r="B149" s="33"/>
      <c r="C149" s="22"/>
      <c r="D149" s="33"/>
      <c r="E149" s="33"/>
      <c r="F149" s="33"/>
      <c r="G149" s="3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8"/>
      <c r="B150" s="39"/>
      <c r="C150" s="40"/>
      <c r="D150" s="39"/>
      <c r="E150" s="39"/>
      <c r="F150" s="39"/>
      <c r="G150" s="39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/>
      <c r="B151" s="33"/>
      <c r="C151" s="22"/>
      <c r="D151" s="33"/>
      <c r="E151" s="33"/>
      <c r="F151" s="33"/>
      <c r="G151" s="3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8"/>
      <c r="B152" s="39"/>
      <c r="C152" s="40"/>
      <c r="D152" s="39"/>
      <c r="E152" s="39"/>
      <c r="F152" s="39"/>
      <c r="G152" s="39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/>
      <c r="B153" s="33"/>
      <c r="C153" s="22"/>
      <c r="D153" s="33"/>
      <c r="E153" s="33"/>
      <c r="F153" s="33"/>
      <c r="G153" s="3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8"/>
      <c r="B154" s="39"/>
      <c r="C154" s="40"/>
      <c r="D154" s="39"/>
      <c r="E154" s="39"/>
      <c r="F154" s="39"/>
      <c r="G154" s="39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/>
      <c r="B155" s="33"/>
      <c r="C155" s="22"/>
      <c r="D155" s="33"/>
      <c r="E155" s="33"/>
      <c r="F155" s="33"/>
      <c r="G155" s="3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8"/>
      <c r="B156" s="39"/>
      <c r="C156" s="40"/>
      <c r="D156" s="39"/>
      <c r="E156" s="39"/>
      <c r="F156" s="39"/>
      <c r="G156" s="3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/>
      <c r="B157" s="33"/>
      <c r="C157" s="22"/>
      <c r="D157" s="33"/>
      <c r="E157" s="33"/>
      <c r="F157" s="33"/>
      <c r="G157" s="3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8"/>
      <c r="B158" s="39"/>
      <c r="C158" s="40"/>
      <c r="D158" s="39"/>
      <c r="E158" s="39"/>
      <c r="F158" s="39"/>
      <c r="G158" s="39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/>
      <c r="B159" s="33"/>
      <c r="C159" s="22"/>
      <c r="D159" s="33"/>
      <c r="E159" s="33"/>
      <c r="F159" s="33"/>
      <c r="G159" s="3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8"/>
      <c r="B160" s="39"/>
      <c r="C160" s="40"/>
      <c r="D160" s="39"/>
      <c r="E160" s="39"/>
      <c r="F160" s="39"/>
      <c r="G160" s="39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/>
      <c r="B161" s="33"/>
      <c r="C161" s="22"/>
      <c r="D161" s="33"/>
      <c r="E161" s="33"/>
      <c r="F161" s="33"/>
      <c r="G161" s="3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8"/>
      <c r="B162" s="39"/>
      <c r="C162" s="40"/>
      <c r="D162" s="39"/>
      <c r="E162" s="39"/>
      <c r="F162" s="39"/>
      <c r="G162" s="39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/>
      <c r="B163" s="33"/>
      <c r="C163" s="22"/>
      <c r="D163" s="33"/>
      <c r="E163" s="33"/>
      <c r="F163" s="33"/>
      <c r="G163" s="3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8"/>
      <c r="B164" s="39"/>
      <c r="C164" s="40"/>
      <c r="D164" s="39"/>
      <c r="E164" s="39"/>
      <c r="F164" s="39"/>
      <c r="G164" s="39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/>
      <c r="B165" s="33"/>
      <c r="C165" s="22"/>
      <c r="D165" s="33"/>
      <c r="E165" s="33"/>
      <c r="F165" s="33"/>
      <c r="G165" s="3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8"/>
      <c r="B166" s="39"/>
      <c r="C166" s="40"/>
      <c r="D166" s="39"/>
      <c r="E166" s="39"/>
      <c r="F166" s="39"/>
      <c r="G166" s="39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/>
      <c r="B167" s="33"/>
      <c r="C167" s="22"/>
      <c r="D167" s="33"/>
      <c r="E167" s="33"/>
      <c r="F167" s="33"/>
      <c r="G167" s="3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8"/>
      <c r="B168" s="39"/>
      <c r="C168" s="40"/>
      <c r="D168" s="39"/>
      <c r="E168" s="39"/>
      <c r="F168" s="39"/>
      <c r="G168" s="39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/>
      <c r="B169" s="33"/>
      <c r="C169" s="22"/>
      <c r="D169" s="33"/>
      <c r="E169" s="33"/>
      <c r="F169" s="33"/>
      <c r="G169" s="3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8"/>
      <c r="B170" s="39"/>
      <c r="C170" s="40"/>
      <c r="D170" s="39"/>
      <c r="E170" s="39"/>
      <c r="F170" s="39"/>
      <c r="G170" s="39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/>
      <c r="B171" s="33"/>
      <c r="C171" s="22"/>
      <c r="D171" s="33"/>
      <c r="E171" s="33"/>
      <c r="F171" s="33"/>
      <c r="G171" s="3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8"/>
      <c r="B172" s="39"/>
      <c r="C172" s="40"/>
      <c r="D172" s="39"/>
      <c r="E172" s="39"/>
      <c r="F172" s="39"/>
      <c r="G172" s="39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/>
      <c r="B173" s="33"/>
      <c r="C173" s="22"/>
      <c r="D173" s="33"/>
      <c r="E173" s="33"/>
      <c r="F173" s="33"/>
      <c r="G173" s="3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8"/>
      <c r="B174" s="39"/>
      <c r="C174" s="40"/>
      <c r="D174" s="39"/>
      <c r="E174" s="39"/>
      <c r="F174" s="39"/>
      <c r="G174" s="39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/>
      <c r="B175" s="33"/>
      <c r="C175" s="22"/>
      <c r="D175" s="33"/>
      <c r="E175" s="33"/>
      <c r="F175" s="33"/>
      <c r="G175" s="3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8"/>
      <c r="B176" s="39"/>
      <c r="C176" s="40"/>
      <c r="D176" s="39"/>
      <c r="E176" s="39"/>
      <c r="F176" s="39"/>
      <c r="G176" s="39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/>
      <c r="B177" s="33"/>
      <c r="C177" s="22"/>
      <c r="D177" s="33"/>
      <c r="E177" s="33"/>
      <c r="F177" s="33"/>
      <c r="G177" s="3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8"/>
      <c r="B178" s="39"/>
      <c r="C178" s="40"/>
      <c r="D178" s="39"/>
      <c r="E178" s="39"/>
      <c r="F178" s="39"/>
      <c r="G178" s="39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/>
      <c r="B179" s="33"/>
      <c r="C179" s="22"/>
      <c r="D179" s="33"/>
      <c r="E179" s="33"/>
      <c r="F179" s="33"/>
      <c r="G179" s="3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8"/>
      <c r="B180" s="39"/>
      <c r="C180" s="40"/>
      <c r="D180" s="39"/>
      <c r="E180" s="39"/>
      <c r="F180" s="39"/>
      <c r="G180" s="39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/>
      <c r="B181" s="33"/>
      <c r="C181" s="22"/>
      <c r="D181" s="33"/>
      <c r="E181" s="33"/>
      <c r="F181" s="33"/>
      <c r="G181" s="3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8"/>
      <c r="B182" s="39"/>
      <c r="C182" s="40"/>
      <c r="D182" s="39"/>
      <c r="E182" s="39"/>
      <c r="F182" s="39"/>
      <c r="G182" s="39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/>
      <c r="B183" s="33"/>
      <c r="C183" s="22"/>
      <c r="D183" s="33"/>
      <c r="E183" s="33"/>
      <c r="F183" s="33"/>
      <c r="G183" s="3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8"/>
      <c r="B184" s="39"/>
      <c r="C184" s="40"/>
      <c r="D184" s="39"/>
      <c r="E184" s="39"/>
      <c r="F184" s="39"/>
      <c r="G184" s="39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/>
      <c r="B185" s="33"/>
      <c r="C185" s="22"/>
      <c r="D185" s="33"/>
      <c r="E185" s="33"/>
      <c r="F185" s="33"/>
      <c r="G185" s="3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8"/>
      <c r="B186" s="39"/>
      <c r="C186" s="40"/>
      <c r="D186" s="39"/>
      <c r="E186" s="39"/>
      <c r="F186" s="39"/>
      <c r="G186" s="39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/>
      <c r="B187" s="33"/>
      <c r="C187" s="22"/>
      <c r="D187" s="33"/>
      <c r="E187" s="33"/>
      <c r="F187" s="33"/>
      <c r="G187" s="3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8"/>
      <c r="B188" s="39"/>
      <c r="C188" s="40"/>
      <c r="D188" s="39"/>
      <c r="E188" s="39"/>
      <c r="F188" s="39"/>
      <c r="G188" s="39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/>
      <c r="B189" s="33"/>
      <c r="C189" s="22"/>
      <c r="D189" s="33"/>
      <c r="E189" s="33"/>
      <c r="F189" s="33"/>
      <c r="G189" s="3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8"/>
      <c r="B190" s="39"/>
      <c r="C190" s="40"/>
      <c r="D190" s="39"/>
      <c r="E190" s="39"/>
      <c r="F190" s="39"/>
      <c r="G190" s="3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/>
      <c r="B191" s="33"/>
      <c r="C191" s="22"/>
      <c r="D191" s="33"/>
      <c r="E191" s="33"/>
      <c r="F191" s="33"/>
      <c r="G191" s="3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8"/>
      <c r="B192" s="39"/>
      <c r="C192" s="40"/>
      <c r="D192" s="39"/>
      <c r="E192" s="39"/>
      <c r="F192" s="39"/>
      <c r="G192" s="3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/>
      <c r="B193" s="33"/>
      <c r="C193" s="22"/>
      <c r="D193" s="33"/>
      <c r="E193" s="33"/>
      <c r="F193" s="33"/>
      <c r="G193" s="3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8"/>
      <c r="B194" s="39"/>
      <c r="C194" s="40"/>
      <c r="D194" s="39"/>
      <c r="E194" s="39"/>
      <c r="F194" s="39"/>
      <c r="G194" s="39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/>
      <c r="B195" s="33"/>
      <c r="C195" s="22"/>
      <c r="D195" s="33"/>
      <c r="E195" s="33"/>
      <c r="F195" s="33"/>
      <c r="G195" s="3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8"/>
      <c r="B196" s="39"/>
      <c r="C196" s="40"/>
      <c r="D196" s="39"/>
      <c r="E196" s="39"/>
      <c r="F196" s="39"/>
      <c r="G196" s="39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/>
      <c r="B197" s="33"/>
      <c r="C197" s="22"/>
      <c r="D197" s="33"/>
      <c r="E197" s="33"/>
      <c r="F197" s="33"/>
      <c r="G197" s="3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8"/>
      <c r="B198" s="39"/>
      <c r="C198" s="40"/>
      <c r="D198" s="39"/>
      <c r="E198" s="39"/>
      <c r="F198" s="39"/>
      <c r="G198" s="39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/>
      <c r="B199" s="33"/>
      <c r="C199" s="22"/>
      <c r="D199" s="33"/>
      <c r="E199" s="33"/>
      <c r="F199" s="33"/>
      <c r="G199" s="3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8"/>
      <c r="B200" s="39"/>
      <c r="C200" s="40"/>
      <c r="D200" s="39"/>
      <c r="E200" s="39"/>
      <c r="F200" s="39"/>
      <c r="G200" s="39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/>
      <c r="B201" s="33"/>
      <c r="C201" s="22"/>
      <c r="D201" s="33"/>
      <c r="E201" s="33"/>
      <c r="F201" s="33"/>
      <c r="G201" s="3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8"/>
      <c r="B202" s="39"/>
      <c r="C202" s="40"/>
      <c r="D202" s="39"/>
      <c r="E202" s="39"/>
      <c r="F202" s="39"/>
      <c r="G202" s="39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/>
      <c r="B203" s="33"/>
      <c r="C203" s="22"/>
      <c r="D203" s="33"/>
      <c r="E203" s="33"/>
      <c r="F203" s="33"/>
      <c r="G203" s="3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8"/>
      <c r="B204" s="39"/>
      <c r="C204" s="40"/>
      <c r="D204" s="39"/>
      <c r="E204" s="39"/>
      <c r="F204" s="39"/>
      <c r="G204" s="39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/>
      <c r="B205" s="33"/>
      <c r="C205" s="22"/>
      <c r="D205" s="33"/>
      <c r="E205" s="33"/>
      <c r="F205" s="33"/>
      <c r="G205" s="3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8"/>
      <c r="B206" s="39"/>
      <c r="C206" s="40"/>
      <c r="D206" s="39"/>
      <c r="E206" s="39"/>
      <c r="F206" s="39"/>
      <c r="G206" s="39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/>
      <c r="B207" s="33"/>
      <c r="C207" s="22"/>
      <c r="D207" s="33"/>
      <c r="E207" s="33"/>
      <c r="F207" s="33"/>
      <c r="G207" s="3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8"/>
      <c r="B208" s="39"/>
      <c r="C208" s="40"/>
      <c r="D208" s="39"/>
      <c r="E208" s="39"/>
      <c r="F208" s="39"/>
      <c r="G208" s="39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/>
      <c r="B209" s="33"/>
      <c r="C209" s="22"/>
      <c r="D209" s="33"/>
      <c r="E209" s="33"/>
      <c r="F209" s="33"/>
      <c r="G209" s="3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8"/>
      <c r="B210" s="39"/>
      <c r="C210" s="40"/>
      <c r="D210" s="39"/>
      <c r="E210" s="39"/>
      <c r="F210" s="39"/>
      <c r="G210" s="39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/>
      <c r="B211" s="33"/>
      <c r="C211" s="22"/>
      <c r="D211" s="33"/>
      <c r="E211" s="33"/>
      <c r="F211" s="33"/>
      <c r="G211" s="3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8"/>
      <c r="B212" s="39"/>
      <c r="C212" s="40"/>
      <c r="D212" s="39"/>
      <c r="E212" s="39"/>
      <c r="F212" s="39"/>
      <c r="G212" s="3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/>
      <c r="B213" s="33"/>
      <c r="C213" s="22"/>
      <c r="D213" s="33"/>
      <c r="E213" s="33"/>
      <c r="F213" s="33"/>
      <c r="G213" s="3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8"/>
      <c r="B214" s="39"/>
      <c r="C214" s="40"/>
      <c r="D214" s="39"/>
      <c r="E214" s="39"/>
      <c r="F214" s="39"/>
      <c r="G214" s="39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/>
      <c r="B215" s="33"/>
      <c r="C215" s="22"/>
      <c r="D215" s="33"/>
      <c r="E215" s="33"/>
      <c r="F215" s="33"/>
      <c r="G215" s="3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8"/>
      <c r="B216" s="39"/>
      <c r="C216" s="40"/>
      <c r="D216" s="39"/>
      <c r="E216" s="39"/>
      <c r="F216" s="39"/>
      <c r="G216" s="39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/>
      <c r="B217" s="33"/>
      <c r="C217" s="22"/>
      <c r="D217" s="33"/>
      <c r="E217" s="33"/>
      <c r="F217" s="33"/>
      <c r="G217" s="3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8"/>
      <c r="B218" s="39"/>
      <c r="C218" s="40"/>
      <c r="D218" s="39"/>
      <c r="E218" s="39"/>
      <c r="F218" s="39"/>
      <c r="G218" s="39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/>
      <c r="B219" s="33"/>
      <c r="C219" s="22"/>
      <c r="D219" s="33"/>
      <c r="E219" s="33"/>
      <c r="F219" s="33"/>
      <c r="G219" s="3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8"/>
      <c r="B220" s="39"/>
      <c r="C220" s="40"/>
      <c r="D220" s="39"/>
      <c r="E220" s="39"/>
      <c r="F220" s="39"/>
      <c r="G220" s="39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G1"/>
    <mergeCell ref="A3:G3"/>
  </mergeCells>
  <dataValidations>
    <dataValidation type="list" allowBlank="1" sqref="E6:E505">
      <formula1>Config!$B$11:$B$12</formula1>
    </dataValidation>
    <dataValidation type="list" allowBlank="1" sqref="B6:B505">
      <formula1>Config!$A$11:$A$12</formula1>
    </dataValidation>
    <dataValidation type="list" allowBlank="1" sqref="F6:F505">
      <formula1>Config!$C$11:$C$19</formula1>
    </dataValidation>
    <dataValidation type="list" allowBlank="1" sqref="D6:D505">
      <formula1>Config!$L$11:$L$52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16.0"/>
    <col customWidth="1" min="4" max="4" width="50.0"/>
    <col customWidth="1" min="5" max="6" width="8.71"/>
  </cols>
  <sheetData>
    <row r="1" ht="31.5" customHeight="1">
      <c r="A1" s="41" t="s">
        <v>88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2" t="s">
        <v>89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3" t="s">
        <v>29</v>
      </c>
      <c r="B4" s="43" t="s">
        <v>82</v>
      </c>
      <c r="C4" s="43" t="s">
        <v>90</v>
      </c>
      <c r="D4" s="43" t="s">
        <v>24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4" t="s">
        <v>91</v>
      </c>
      <c r="B5" s="45">
        <v>2200.0</v>
      </c>
      <c r="C5" s="46">
        <f t="shared" ref="C5:C8" si="1">B5/$B$9</f>
        <v>0.2528735632</v>
      </c>
      <c r="D5" s="44" t="s">
        <v>92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4" t="s">
        <v>93</v>
      </c>
      <c r="B6" s="45">
        <v>1200.0</v>
      </c>
      <c r="C6" s="46">
        <f t="shared" si="1"/>
        <v>0.1379310345</v>
      </c>
      <c r="D6" s="44" t="s">
        <v>94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4" t="s">
        <v>95</v>
      </c>
      <c r="B7" s="45">
        <v>1500.0</v>
      </c>
      <c r="C7" s="46">
        <f t="shared" si="1"/>
        <v>0.1724137931</v>
      </c>
      <c r="D7" s="44" t="s">
        <v>96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4" t="s">
        <v>97</v>
      </c>
      <c r="B8" s="45">
        <v>3800.0</v>
      </c>
      <c r="C8" s="46">
        <f t="shared" si="1"/>
        <v>0.4367816092</v>
      </c>
      <c r="D8" s="44" t="s">
        <v>98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7" t="s">
        <v>99</v>
      </c>
      <c r="B9" s="48">
        <f>SUM(B5:B8)</f>
        <v>8700</v>
      </c>
      <c r="C9" s="49">
        <v>1.0</v>
      </c>
      <c r="D9" s="5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2" t="s">
        <v>100</v>
      </c>
      <c r="B11" s="2"/>
      <c r="C11" s="2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1" t="s">
        <v>29</v>
      </c>
      <c r="B12" s="51" t="s">
        <v>82</v>
      </c>
      <c r="C12" s="51" t="s">
        <v>90</v>
      </c>
      <c r="D12" s="51" t="s">
        <v>24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52" t="s">
        <v>101</v>
      </c>
      <c r="B13" s="53">
        <v>1910.0</v>
      </c>
      <c r="C13" s="54">
        <f t="shared" ref="C13:C18" si="2">B13/$B$9</f>
        <v>0.2195402299</v>
      </c>
      <c r="D13" s="52" t="s">
        <v>102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52" t="s">
        <v>103</v>
      </c>
      <c r="B14" s="53">
        <v>870.0</v>
      </c>
      <c r="C14" s="54">
        <f t="shared" si="2"/>
        <v>0.1</v>
      </c>
      <c r="D14" s="52" t="s">
        <v>104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52" t="s">
        <v>105</v>
      </c>
      <c r="B15" s="53">
        <v>145.0</v>
      </c>
      <c r="C15" s="54">
        <f t="shared" si="2"/>
        <v>0.01666666667</v>
      </c>
      <c r="D15" s="52" t="s">
        <v>106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52" t="s">
        <v>35</v>
      </c>
      <c r="B16" s="53">
        <v>75.0</v>
      </c>
      <c r="C16" s="54">
        <f t="shared" si="2"/>
        <v>0.008620689655</v>
      </c>
      <c r="D16" s="52" t="s">
        <v>107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52" t="s">
        <v>108</v>
      </c>
      <c r="B17" s="53">
        <v>200.0</v>
      </c>
      <c r="C17" s="54">
        <f t="shared" si="2"/>
        <v>0.02298850575</v>
      </c>
      <c r="D17" s="52" t="s">
        <v>109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7" t="s">
        <v>110</v>
      </c>
      <c r="B18" s="48">
        <f>SUM(B13:B17)</f>
        <v>3200</v>
      </c>
      <c r="C18" s="49">
        <f t="shared" si="2"/>
        <v>0.367816092</v>
      </c>
      <c r="D18" s="5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2" t="s">
        <v>111</v>
      </c>
      <c r="B20" s="2"/>
      <c r="C20" s="2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43" t="s">
        <v>29</v>
      </c>
      <c r="B21" s="43" t="s">
        <v>82</v>
      </c>
      <c r="C21" s="43" t="s">
        <v>90</v>
      </c>
      <c r="D21" s="43" t="s">
        <v>24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44" t="s">
        <v>112</v>
      </c>
      <c r="B22" s="45">
        <v>800.0</v>
      </c>
      <c r="C22" s="46">
        <f t="shared" ref="C22:C29" si="3">B22/$B$9</f>
        <v>0.09195402299</v>
      </c>
      <c r="D22" s="44" t="s">
        <v>113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44" t="s">
        <v>114</v>
      </c>
      <c r="B23" s="45">
        <v>180.0</v>
      </c>
      <c r="C23" s="46">
        <f t="shared" si="3"/>
        <v>0.02068965517</v>
      </c>
      <c r="D23" s="44" t="s">
        <v>115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44" t="s">
        <v>40</v>
      </c>
      <c r="B24" s="45">
        <v>250.0</v>
      </c>
      <c r="C24" s="46">
        <f t="shared" si="3"/>
        <v>0.02873563218</v>
      </c>
      <c r="D24" s="44" t="s">
        <v>116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44" t="s">
        <v>117</v>
      </c>
      <c r="B25" s="45">
        <v>100.0</v>
      </c>
      <c r="C25" s="46">
        <f t="shared" si="3"/>
        <v>0.01149425287</v>
      </c>
      <c r="D25" s="44" t="s">
        <v>118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55" t="s">
        <v>119</v>
      </c>
      <c r="B26" s="56">
        <v>280.0</v>
      </c>
      <c r="C26" s="57">
        <f t="shared" si="3"/>
        <v>0.03218390805</v>
      </c>
      <c r="D26" s="55" t="s">
        <v>120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55" t="s">
        <v>121</v>
      </c>
      <c r="B27" s="56">
        <v>150.0</v>
      </c>
      <c r="C27" s="57">
        <f t="shared" si="3"/>
        <v>0.01724137931</v>
      </c>
      <c r="D27" s="55" t="s">
        <v>122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5" t="s">
        <v>123</v>
      </c>
      <c r="B28" s="56">
        <v>60.0</v>
      </c>
      <c r="C28" s="57">
        <f t="shared" si="3"/>
        <v>0.006896551724</v>
      </c>
      <c r="D28" s="55" t="s">
        <v>124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47" t="s">
        <v>125</v>
      </c>
      <c r="B29" s="48">
        <f>SUM(B22:B28)</f>
        <v>1820</v>
      </c>
      <c r="C29" s="49">
        <f t="shared" si="3"/>
        <v>0.2091954023</v>
      </c>
      <c r="D29" s="5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42" t="s">
        <v>126</v>
      </c>
      <c r="B31" s="2"/>
      <c r="C31" s="2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43" t="s">
        <v>29</v>
      </c>
      <c r="B32" s="43" t="s">
        <v>82</v>
      </c>
      <c r="C32" s="43" t="s">
        <v>90</v>
      </c>
      <c r="D32" s="43" t="s">
        <v>24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44" t="s">
        <v>127</v>
      </c>
      <c r="B33" s="45">
        <v>100.0</v>
      </c>
      <c r="C33" s="46">
        <f t="shared" ref="C33:C38" si="4">B33/$B$9</f>
        <v>0.01149425287</v>
      </c>
      <c r="D33" s="44" t="s">
        <v>128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44" t="s">
        <v>129</v>
      </c>
      <c r="B34" s="45">
        <v>100.0</v>
      </c>
      <c r="C34" s="46">
        <f t="shared" si="4"/>
        <v>0.01149425287</v>
      </c>
      <c r="D34" s="44" t="s">
        <v>130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44" t="s">
        <v>131</v>
      </c>
      <c r="B35" s="45">
        <v>75.0</v>
      </c>
      <c r="C35" s="46">
        <f t="shared" si="4"/>
        <v>0.008620689655</v>
      </c>
      <c r="D35" s="44" t="s">
        <v>132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44" t="s">
        <v>133</v>
      </c>
      <c r="B36" s="45">
        <v>28.0</v>
      </c>
      <c r="C36" s="46">
        <f t="shared" si="4"/>
        <v>0.003218390805</v>
      </c>
      <c r="D36" s="44" t="s">
        <v>134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44" t="s">
        <v>135</v>
      </c>
      <c r="B37" s="45">
        <v>17.0</v>
      </c>
      <c r="C37" s="46">
        <f t="shared" si="4"/>
        <v>0.001954022989</v>
      </c>
      <c r="D37" s="44" t="s">
        <v>136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47" t="s">
        <v>137</v>
      </c>
      <c r="B38" s="48">
        <f>SUM(B33:B37)</f>
        <v>320</v>
      </c>
      <c r="C38" s="49">
        <f t="shared" si="4"/>
        <v>0.0367816092</v>
      </c>
      <c r="D38" s="5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42" t="s">
        <v>138</v>
      </c>
      <c r="B40" s="2"/>
      <c r="C40" s="2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43" t="s">
        <v>29</v>
      </c>
      <c r="B41" s="43" t="s">
        <v>82</v>
      </c>
      <c r="C41" s="43" t="s">
        <v>90</v>
      </c>
      <c r="D41" s="43" t="s">
        <v>24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44" t="s">
        <v>139</v>
      </c>
      <c r="B42" s="45">
        <v>500.0</v>
      </c>
      <c r="C42" s="46">
        <f t="shared" ref="C42:C47" si="5">B42/$B$9</f>
        <v>0.05747126437</v>
      </c>
      <c r="D42" s="44" t="s">
        <v>140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44" t="s">
        <v>53</v>
      </c>
      <c r="B43" s="45">
        <v>170.0</v>
      </c>
      <c r="C43" s="46">
        <f t="shared" si="5"/>
        <v>0.01954022989</v>
      </c>
      <c r="D43" s="44" t="s">
        <v>141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44" t="s">
        <v>142</v>
      </c>
      <c r="B44" s="45">
        <v>80.0</v>
      </c>
      <c r="C44" s="46">
        <f t="shared" si="5"/>
        <v>0.009195402299</v>
      </c>
      <c r="D44" s="44" t="s">
        <v>143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44" t="s">
        <v>144</v>
      </c>
      <c r="B45" s="45">
        <v>55.0</v>
      </c>
      <c r="C45" s="46">
        <f t="shared" si="5"/>
        <v>0.00632183908</v>
      </c>
      <c r="D45" s="44" t="s">
        <v>145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44" t="s">
        <v>146</v>
      </c>
      <c r="B46" s="45">
        <v>60.0</v>
      </c>
      <c r="C46" s="46">
        <f t="shared" si="5"/>
        <v>0.006896551724</v>
      </c>
      <c r="D46" s="44" t="s">
        <v>147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47" t="s">
        <v>148</v>
      </c>
      <c r="B47" s="48">
        <f>SUM(B42:B46)</f>
        <v>865</v>
      </c>
      <c r="C47" s="49">
        <f t="shared" si="5"/>
        <v>0.09942528736</v>
      </c>
      <c r="D47" s="5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2" t="s">
        <v>149</v>
      </c>
      <c r="B49" s="2"/>
      <c r="C49" s="2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43" t="s">
        <v>29</v>
      </c>
      <c r="B50" s="43" t="s">
        <v>82</v>
      </c>
      <c r="C50" s="43" t="s">
        <v>90</v>
      </c>
      <c r="D50" s="43" t="s">
        <v>24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44" t="s">
        <v>150</v>
      </c>
      <c r="B51" s="45">
        <v>60.0</v>
      </c>
      <c r="C51" s="46">
        <f t="shared" ref="C51:C57" si="6">B51/$B$9</f>
        <v>0.006896551724</v>
      </c>
      <c r="D51" s="44" t="s">
        <v>151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44" t="s">
        <v>152</v>
      </c>
      <c r="B52" s="45">
        <v>60.0</v>
      </c>
      <c r="C52" s="46">
        <f t="shared" si="6"/>
        <v>0.006896551724</v>
      </c>
      <c r="D52" s="44" t="s">
        <v>151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44" t="s">
        <v>153</v>
      </c>
      <c r="B53" s="45">
        <v>120.0</v>
      </c>
      <c r="C53" s="46">
        <f t="shared" si="6"/>
        <v>0.01379310345</v>
      </c>
      <c r="D53" s="44" t="s">
        <v>154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44" t="s">
        <v>155</v>
      </c>
      <c r="B54" s="45">
        <v>80.0</v>
      </c>
      <c r="C54" s="46">
        <f t="shared" si="6"/>
        <v>0.009195402299</v>
      </c>
      <c r="D54" s="44" t="s">
        <v>156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44" t="s">
        <v>157</v>
      </c>
      <c r="B55" s="45">
        <v>50.0</v>
      </c>
      <c r="C55" s="46">
        <f t="shared" si="6"/>
        <v>0.005747126437</v>
      </c>
      <c r="D55" s="44" t="s">
        <v>158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44" t="s">
        <v>159</v>
      </c>
      <c r="B56" s="45">
        <v>120.0</v>
      </c>
      <c r="C56" s="46">
        <f t="shared" si="6"/>
        <v>0.01379310345</v>
      </c>
      <c r="D56" s="44" t="s">
        <v>160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47" t="s">
        <v>161</v>
      </c>
      <c r="B57" s="48">
        <f>SUM(B51:B56)</f>
        <v>490</v>
      </c>
      <c r="C57" s="49">
        <f t="shared" si="6"/>
        <v>0.05632183908</v>
      </c>
      <c r="D57" s="5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42" t="s">
        <v>162</v>
      </c>
      <c r="B59" s="2"/>
      <c r="C59" s="2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43" t="s">
        <v>29</v>
      </c>
      <c r="B60" s="43" t="s">
        <v>82</v>
      </c>
      <c r="C60" s="43" t="s">
        <v>90</v>
      </c>
      <c r="D60" s="43" t="s">
        <v>24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44" t="s">
        <v>163</v>
      </c>
      <c r="B61" s="45">
        <v>120.0</v>
      </c>
      <c r="C61" s="46">
        <f t="shared" ref="C61:C67" si="7">B61/$B$9</f>
        <v>0.01379310345</v>
      </c>
      <c r="D61" s="44" t="s">
        <v>164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44" t="s">
        <v>165</v>
      </c>
      <c r="B62" s="45">
        <v>50.0</v>
      </c>
      <c r="C62" s="46">
        <f t="shared" si="7"/>
        <v>0.005747126437</v>
      </c>
      <c r="D62" s="44" t="s">
        <v>166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44" t="s">
        <v>167</v>
      </c>
      <c r="B63" s="45">
        <v>60.0</v>
      </c>
      <c r="C63" s="46">
        <f t="shared" si="7"/>
        <v>0.006896551724</v>
      </c>
      <c r="D63" s="44" t="s">
        <v>168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44" t="s">
        <v>169</v>
      </c>
      <c r="B64" s="45">
        <v>150.0</v>
      </c>
      <c r="C64" s="46">
        <f t="shared" si="7"/>
        <v>0.01724137931</v>
      </c>
      <c r="D64" s="44" t="s">
        <v>170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44" t="s">
        <v>171</v>
      </c>
      <c r="B65" s="45">
        <v>80.0</v>
      </c>
      <c r="C65" s="46">
        <f t="shared" si="7"/>
        <v>0.009195402299</v>
      </c>
      <c r="D65" s="44" t="s">
        <v>172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55" t="s">
        <v>70</v>
      </c>
      <c r="B66" s="56">
        <v>100.0</v>
      </c>
      <c r="C66" s="57">
        <f t="shared" si="7"/>
        <v>0.01149425287</v>
      </c>
      <c r="D66" s="55" t="s">
        <v>173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47" t="s">
        <v>174</v>
      </c>
      <c r="B67" s="48">
        <f>SUM(B61:B66)</f>
        <v>560</v>
      </c>
      <c r="C67" s="49">
        <f t="shared" si="7"/>
        <v>0.06436781609</v>
      </c>
      <c r="D67" s="5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42" t="s">
        <v>175</v>
      </c>
      <c r="B69" s="2"/>
      <c r="C69" s="2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43" t="s">
        <v>29</v>
      </c>
      <c r="B70" s="43" t="s">
        <v>82</v>
      </c>
      <c r="C70" s="43" t="s">
        <v>90</v>
      </c>
      <c r="D70" s="43" t="s">
        <v>24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58" t="s">
        <v>176</v>
      </c>
      <c r="B71" s="59">
        <v>700.0</v>
      </c>
      <c r="C71" s="60">
        <f t="shared" ref="C71:C74" si="8">B71/$B$9</f>
        <v>0.08045977011</v>
      </c>
      <c r="D71" s="58" t="s">
        <v>177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58" t="s">
        <v>178</v>
      </c>
      <c r="B72" s="59">
        <v>200.0</v>
      </c>
      <c r="C72" s="60">
        <f t="shared" si="8"/>
        <v>0.02298850575</v>
      </c>
      <c r="D72" s="58" t="s">
        <v>179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58" t="s">
        <v>180</v>
      </c>
      <c r="B73" s="59">
        <v>0.0</v>
      </c>
      <c r="C73" s="60">
        <f t="shared" si="8"/>
        <v>0</v>
      </c>
      <c r="D73" s="58" t="s">
        <v>181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47" t="s">
        <v>182</v>
      </c>
      <c r="B74" s="48">
        <f>SUM(B71:B73)</f>
        <v>900</v>
      </c>
      <c r="C74" s="49">
        <f t="shared" si="8"/>
        <v>0.1034482759</v>
      </c>
      <c r="D74" s="5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42" t="s">
        <v>183</v>
      </c>
      <c r="B77" s="2"/>
      <c r="C77" s="2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61" t="s">
        <v>184</v>
      </c>
      <c r="B78" s="62">
        <f>B9</f>
        <v>8700</v>
      </c>
      <c r="C78" s="46">
        <f t="shared" ref="C78:C86" si="9">B78/$B$9</f>
        <v>1</v>
      </c>
      <c r="D78" s="44" t="s">
        <v>185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61" t="s">
        <v>186</v>
      </c>
      <c r="B79" s="62">
        <f>B18</f>
        <v>3200</v>
      </c>
      <c r="C79" s="46">
        <f t="shared" si="9"/>
        <v>0.367816092</v>
      </c>
      <c r="D79" s="44" t="s">
        <v>187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61" t="s">
        <v>188</v>
      </c>
      <c r="B80" s="62">
        <f>B29</f>
        <v>1820</v>
      </c>
      <c r="C80" s="46">
        <f t="shared" si="9"/>
        <v>0.2091954023</v>
      </c>
      <c r="D80" s="44" t="s">
        <v>189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61" t="s">
        <v>190</v>
      </c>
      <c r="B81" s="62">
        <f>B38</f>
        <v>320</v>
      </c>
      <c r="C81" s="46">
        <f t="shared" si="9"/>
        <v>0.0367816092</v>
      </c>
      <c r="D81" s="44" t="s">
        <v>191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61" t="s">
        <v>192</v>
      </c>
      <c r="B82" s="62">
        <f>B47</f>
        <v>865</v>
      </c>
      <c r="C82" s="46">
        <f t="shared" si="9"/>
        <v>0.09942528736</v>
      </c>
      <c r="D82" s="44" t="s">
        <v>193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61" t="s">
        <v>194</v>
      </c>
      <c r="B83" s="62">
        <f>B57</f>
        <v>490</v>
      </c>
      <c r="C83" s="46">
        <f t="shared" si="9"/>
        <v>0.05632183908</v>
      </c>
      <c r="D83" s="44" t="s">
        <v>195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61" t="s">
        <v>196</v>
      </c>
      <c r="B84" s="62">
        <f>B67</f>
        <v>560</v>
      </c>
      <c r="C84" s="46">
        <f t="shared" si="9"/>
        <v>0.06436781609</v>
      </c>
      <c r="D84" s="44" t="s">
        <v>197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61" t="s">
        <v>198</v>
      </c>
      <c r="B85" s="62">
        <f>B74</f>
        <v>900</v>
      </c>
      <c r="C85" s="46">
        <f t="shared" si="9"/>
        <v>0.1034482759</v>
      </c>
      <c r="D85" s="44" t="s">
        <v>199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47" t="s">
        <v>200</v>
      </c>
      <c r="B86" s="63">
        <f>B9-B18-B29-B38-B47-B57-B67-B74</f>
        <v>545</v>
      </c>
      <c r="C86" s="49">
        <f t="shared" si="9"/>
        <v>0.06264367816</v>
      </c>
      <c r="D86" s="47" t="s">
        <v>201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A59:D59"/>
    <mergeCell ref="A69:D69"/>
    <mergeCell ref="A77:D77"/>
    <mergeCell ref="A1:D1"/>
    <mergeCell ref="A3:D3"/>
    <mergeCell ref="A11:D11"/>
    <mergeCell ref="A20:D20"/>
    <mergeCell ref="A31:D31"/>
    <mergeCell ref="A40:D40"/>
    <mergeCell ref="A49:D4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5.0"/>
    <col customWidth="1" min="3" max="5" width="12.0"/>
    <col customWidth="1" min="6" max="6" width="14.0"/>
    <col customWidth="1" min="7" max="7" width="35.0"/>
  </cols>
  <sheetData>
    <row r="1" ht="31.5" customHeight="1">
      <c r="A1" s="41" t="s">
        <v>202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64" t="s">
        <v>203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65" t="s">
        <v>204</v>
      </c>
      <c r="B5" s="65" t="s">
        <v>205</v>
      </c>
      <c r="C5" s="65" t="s">
        <v>206</v>
      </c>
      <c r="D5" s="65" t="s">
        <v>207</v>
      </c>
      <c r="E5" s="65" t="s">
        <v>7</v>
      </c>
      <c r="F5" s="65" t="s">
        <v>208</v>
      </c>
      <c r="G5" s="65" t="s">
        <v>24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6" t="s">
        <v>209</v>
      </c>
      <c r="B6" s="52" t="s">
        <v>210</v>
      </c>
      <c r="C6" s="67">
        <v>800.0</v>
      </c>
      <c r="D6" s="67">
        <v>1400.0</v>
      </c>
      <c r="E6" s="68">
        <v>1000.0</v>
      </c>
      <c r="F6" s="69" t="s">
        <v>211</v>
      </c>
      <c r="G6" s="52" t="s">
        <v>212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6" t="s">
        <v>209</v>
      </c>
      <c r="B7" s="52" t="s">
        <v>213</v>
      </c>
      <c r="C7" s="67">
        <v>300.0</v>
      </c>
      <c r="D7" s="67">
        <v>600.0</v>
      </c>
      <c r="E7" s="68">
        <v>450.0</v>
      </c>
      <c r="F7" s="69" t="s">
        <v>211</v>
      </c>
      <c r="G7" s="52" t="s">
        <v>214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6" t="s">
        <v>209</v>
      </c>
      <c r="B8" s="52" t="s">
        <v>215</v>
      </c>
      <c r="C8" s="67">
        <v>2500.0</v>
      </c>
      <c r="D8" s="67">
        <v>3800.0</v>
      </c>
      <c r="E8" s="68">
        <v>3000.0</v>
      </c>
      <c r="F8" s="69" t="s">
        <v>216</v>
      </c>
      <c r="G8" s="52" t="s">
        <v>217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66" t="s">
        <v>209</v>
      </c>
      <c r="B9" s="52" t="s">
        <v>218</v>
      </c>
      <c r="C9" s="67">
        <v>1200.0</v>
      </c>
      <c r="D9" s="67">
        <v>2000.0</v>
      </c>
      <c r="E9" s="68">
        <v>1500.0</v>
      </c>
      <c r="F9" s="69" t="s">
        <v>216</v>
      </c>
      <c r="G9" s="52" t="s">
        <v>219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66" t="s">
        <v>209</v>
      </c>
      <c r="B10" s="52" t="s">
        <v>220</v>
      </c>
      <c r="C10" s="67">
        <v>1800.0</v>
      </c>
      <c r="D10" s="67">
        <v>3000.0</v>
      </c>
      <c r="E10" s="68">
        <v>2200.0</v>
      </c>
      <c r="F10" s="69" t="s">
        <v>216</v>
      </c>
      <c r="G10" s="52" t="s">
        <v>221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66" t="s">
        <v>209</v>
      </c>
      <c r="B11" s="52" t="s">
        <v>222</v>
      </c>
      <c r="C11" s="67">
        <v>400.0</v>
      </c>
      <c r="D11" s="67">
        <v>700.0</v>
      </c>
      <c r="E11" s="68">
        <v>500.0</v>
      </c>
      <c r="F11" s="69" t="s">
        <v>211</v>
      </c>
      <c r="G11" s="52" t="s">
        <v>223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70" t="s">
        <v>224</v>
      </c>
      <c r="B12" s="71" t="s">
        <v>225</v>
      </c>
      <c r="C12" s="72">
        <v>600.0</v>
      </c>
      <c r="D12" s="72">
        <v>1200.0</v>
      </c>
      <c r="E12" s="73">
        <v>800.0</v>
      </c>
      <c r="F12" s="74" t="s">
        <v>211</v>
      </c>
      <c r="G12" s="71" t="s">
        <v>226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70" t="s">
        <v>224</v>
      </c>
      <c r="B13" s="71" t="s">
        <v>227</v>
      </c>
      <c r="C13" s="72">
        <v>400.0</v>
      </c>
      <c r="D13" s="72">
        <v>800.0</v>
      </c>
      <c r="E13" s="73">
        <v>500.0</v>
      </c>
      <c r="F13" s="74" t="s">
        <v>211</v>
      </c>
      <c r="G13" s="71" t="s">
        <v>228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70" t="s">
        <v>224</v>
      </c>
      <c r="B14" s="71" t="s">
        <v>229</v>
      </c>
      <c r="C14" s="72">
        <v>500.0</v>
      </c>
      <c r="D14" s="72">
        <v>1000.0</v>
      </c>
      <c r="E14" s="73">
        <v>700.0</v>
      </c>
      <c r="F14" s="74" t="s">
        <v>230</v>
      </c>
      <c r="G14" s="71" t="s">
        <v>231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70" t="s">
        <v>224</v>
      </c>
      <c r="B15" s="71" t="s">
        <v>232</v>
      </c>
      <c r="C15" s="72">
        <v>300.0</v>
      </c>
      <c r="D15" s="72">
        <v>600.0</v>
      </c>
      <c r="E15" s="73">
        <v>400.0</v>
      </c>
      <c r="F15" s="74" t="s">
        <v>230</v>
      </c>
      <c r="G15" s="71" t="s">
        <v>233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75" t="s">
        <v>234</v>
      </c>
      <c r="B16" s="76" t="s">
        <v>235</v>
      </c>
      <c r="C16" s="77">
        <v>2000.0</v>
      </c>
      <c r="D16" s="77">
        <v>3500.0</v>
      </c>
      <c r="E16" s="78">
        <v>2500.0</v>
      </c>
      <c r="F16" s="79" t="s">
        <v>236</v>
      </c>
      <c r="G16" s="76" t="s">
        <v>237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75" t="s">
        <v>234</v>
      </c>
      <c r="B17" s="76" t="s">
        <v>238</v>
      </c>
      <c r="C17" s="77">
        <v>2500.0</v>
      </c>
      <c r="D17" s="77">
        <v>3800.0</v>
      </c>
      <c r="E17" s="78">
        <v>3000.0</v>
      </c>
      <c r="F17" s="79" t="s">
        <v>239</v>
      </c>
      <c r="G17" s="76" t="s">
        <v>240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75" t="s">
        <v>234</v>
      </c>
      <c r="B18" s="76" t="s">
        <v>241</v>
      </c>
      <c r="C18" s="77">
        <v>1500.0</v>
      </c>
      <c r="D18" s="77">
        <v>2800.0</v>
      </c>
      <c r="E18" s="78">
        <v>0.0</v>
      </c>
      <c r="F18" s="79" t="s">
        <v>242</v>
      </c>
      <c r="G18" s="76" t="s">
        <v>243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50"/>
      <c r="B19" s="47" t="s">
        <v>244</v>
      </c>
      <c r="C19" s="80">
        <f t="shared" ref="C19:E19" si="1">SUM(C6:C18)</f>
        <v>14800</v>
      </c>
      <c r="D19" s="80">
        <f t="shared" si="1"/>
        <v>25200</v>
      </c>
      <c r="E19" s="80">
        <f t="shared" si="1"/>
        <v>16550</v>
      </c>
      <c r="F19" s="50"/>
      <c r="G19" s="5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81" t="s">
        <v>245</v>
      </c>
      <c r="C20" s="4"/>
      <c r="D20" s="4"/>
      <c r="E20" s="82">
        <v>17000.0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4"/>
      <c r="B21" s="81" t="s">
        <v>246</v>
      </c>
      <c r="C21" s="4"/>
      <c r="D21" s="4"/>
      <c r="E21" s="83">
        <f>E20-E19</f>
        <v>450</v>
      </c>
      <c r="F21" s="4"/>
      <c r="G21" s="84" t="s">
        <v>247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42" t="s">
        <v>248</v>
      </c>
      <c r="B24" s="2"/>
      <c r="C24" s="2"/>
      <c r="D24" s="2"/>
      <c r="E24" s="2"/>
      <c r="F24" s="2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61" t="s">
        <v>249</v>
      </c>
      <c r="B25" s="85" t="s">
        <v>250</v>
      </c>
      <c r="C25" s="86"/>
      <c r="D25" s="86"/>
      <c r="E25" s="86"/>
      <c r="F25" s="86"/>
      <c r="G25" s="8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61" t="s">
        <v>251</v>
      </c>
      <c r="B26" s="85" t="s">
        <v>252</v>
      </c>
      <c r="C26" s="86"/>
      <c r="D26" s="86"/>
      <c r="E26" s="86"/>
      <c r="F26" s="86"/>
      <c r="G26" s="8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61" t="s">
        <v>253</v>
      </c>
      <c r="B27" s="85" t="s">
        <v>254</v>
      </c>
      <c r="C27" s="86"/>
      <c r="D27" s="86"/>
      <c r="E27" s="86"/>
      <c r="F27" s="86"/>
      <c r="G27" s="8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61" t="s">
        <v>255</v>
      </c>
      <c r="B28" s="85" t="s">
        <v>256</v>
      </c>
      <c r="C28" s="86"/>
      <c r="D28" s="86"/>
      <c r="E28" s="86"/>
      <c r="F28" s="86"/>
      <c r="G28" s="8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61" t="s">
        <v>257</v>
      </c>
      <c r="B29" s="85" t="s">
        <v>258</v>
      </c>
      <c r="C29" s="86"/>
      <c r="D29" s="86"/>
      <c r="E29" s="86"/>
      <c r="F29" s="86"/>
      <c r="G29" s="8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61" t="s">
        <v>259</v>
      </c>
      <c r="B30" s="85" t="s">
        <v>260</v>
      </c>
      <c r="C30" s="86"/>
      <c r="D30" s="86"/>
      <c r="E30" s="86"/>
      <c r="F30" s="86"/>
      <c r="G30" s="8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B29:G29"/>
    <mergeCell ref="B30:G30"/>
    <mergeCell ref="A1:G1"/>
    <mergeCell ref="A3:G3"/>
    <mergeCell ref="A24:G24"/>
    <mergeCell ref="B25:G25"/>
    <mergeCell ref="B26:G26"/>
    <mergeCell ref="B27:G27"/>
    <mergeCell ref="B28:G2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8.0"/>
    <col customWidth="1" min="4" max="4" width="46.43"/>
    <col customWidth="1" min="5" max="6" width="8.71"/>
  </cols>
  <sheetData>
    <row r="1" ht="31.5" customHeight="1">
      <c r="A1" s="41" t="s">
        <v>261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2" t="s">
        <v>262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3.25" customHeight="1">
      <c r="A4" s="44" t="s">
        <v>263</v>
      </c>
      <c r="B4" s="88">
        <v>700.0</v>
      </c>
      <c r="C4" s="4"/>
      <c r="D4" s="89" t="s">
        <v>264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4" t="s">
        <v>265</v>
      </c>
      <c r="B5" s="88">
        <v>3500.0</v>
      </c>
      <c r="C5" s="4"/>
      <c r="D5" s="89" t="s">
        <v>266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4" t="s">
        <v>267</v>
      </c>
      <c r="B6" s="62">
        <f>B5*6</f>
        <v>21000</v>
      </c>
      <c r="C6" s="4"/>
      <c r="D6" s="89" t="s">
        <v>268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3.25" customHeight="1">
      <c r="A7" s="44" t="s">
        <v>269</v>
      </c>
      <c r="B7" s="90">
        <v>0.141</v>
      </c>
      <c r="C7" s="4"/>
      <c r="D7" s="89" t="s">
        <v>270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2" t="s">
        <v>271</v>
      </c>
      <c r="B9" s="2"/>
      <c r="C9" s="2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3" t="s">
        <v>272</v>
      </c>
      <c r="B10" s="43" t="s">
        <v>273</v>
      </c>
      <c r="C10" s="43" t="s">
        <v>274</v>
      </c>
      <c r="D10" s="43" t="s">
        <v>275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4" t="s">
        <v>276</v>
      </c>
      <c r="B11" s="45">
        <f>$B$4*(((1+$B$7/12)^1-1)/($B$7/12))</f>
        <v>700</v>
      </c>
      <c r="C11" s="46">
        <f t="shared" ref="C11:C46" si="1">B11/$B$6</f>
        <v>0.03333333333</v>
      </c>
      <c r="D11" s="4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4" t="s">
        <v>277</v>
      </c>
      <c r="B12" s="45">
        <f>$B$4*(((1+$B$7/12)^2-1)/($B$7/12))</f>
        <v>1408.225</v>
      </c>
      <c r="C12" s="46">
        <f t="shared" si="1"/>
        <v>0.06705833333</v>
      </c>
      <c r="D12" s="4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58" t="s">
        <v>278</v>
      </c>
      <c r="B13" s="59">
        <f>$B$4*(((1+$B$7/12)^3-1)/($B$7/12))</f>
        <v>2124.771644</v>
      </c>
      <c r="C13" s="60">
        <f t="shared" si="1"/>
        <v>0.1011796021</v>
      </c>
      <c r="D13" s="43" t="s">
        <v>279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4" t="s">
        <v>280</v>
      </c>
      <c r="B14" s="45">
        <f>$B$4*(((1+$B$7/12)^4-1)/($B$7/12))</f>
        <v>2849.737711</v>
      </c>
      <c r="C14" s="46">
        <f t="shared" si="1"/>
        <v>0.1357017957</v>
      </c>
      <c r="D14" s="4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4" t="s">
        <v>281</v>
      </c>
      <c r="B15" s="45">
        <f>$B$4*(((1+$B$7/12)^5-1)/($B$7/12))</f>
        <v>3583.222129</v>
      </c>
      <c r="C15" s="46">
        <f t="shared" si="1"/>
        <v>0.1706296252</v>
      </c>
      <c r="D15" s="4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58" t="s">
        <v>282</v>
      </c>
      <c r="B16" s="59">
        <f>$B$4*(((1+$B$7/12)^6-1)/($B$7/12))</f>
        <v>4325.324989</v>
      </c>
      <c r="C16" s="60">
        <f t="shared" si="1"/>
        <v>0.2059678566</v>
      </c>
      <c r="D16" s="43" t="s">
        <v>283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4" t="s">
        <v>284</v>
      </c>
      <c r="B17" s="45">
        <f>$B$4*(((1+$B$7/12)^7-1)/($B$7/12))</f>
        <v>5076.147557</v>
      </c>
      <c r="C17" s="46">
        <f t="shared" si="1"/>
        <v>0.2417213123</v>
      </c>
      <c r="D17" s="4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4" t="s">
        <v>285</v>
      </c>
      <c r="B18" s="45">
        <f>$B$4*(((1+$B$7/12)^8-1)/($B$7/12))</f>
        <v>5835.792291</v>
      </c>
      <c r="C18" s="46">
        <f t="shared" si="1"/>
        <v>0.277894871</v>
      </c>
      <c r="D18" s="4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4" t="s">
        <v>286</v>
      </c>
      <c r="B19" s="45">
        <f>$B$4*(((1+$B$7/12)^9-1)/($B$7/12))</f>
        <v>6604.362851</v>
      </c>
      <c r="C19" s="46">
        <f t="shared" si="1"/>
        <v>0.3144934691</v>
      </c>
      <c r="D19" s="4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4" t="s">
        <v>287</v>
      </c>
      <c r="B20" s="45">
        <f>$B$4*(((1+$B$7/12)^10-1)/($B$7/12))</f>
        <v>7381.964114</v>
      </c>
      <c r="C20" s="46">
        <f t="shared" si="1"/>
        <v>0.3515221007</v>
      </c>
      <c r="D20" s="4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44" t="s">
        <v>288</v>
      </c>
      <c r="B21" s="45">
        <f>$B$4*(((1+$B$7/12)^11-1)/($B$7/12))</f>
        <v>8168.702192</v>
      </c>
      <c r="C21" s="46">
        <f t="shared" si="1"/>
        <v>0.3889858187</v>
      </c>
      <c r="D21" s="4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58" t="s">
        <v>289</v>
      </c>
      <c r="B22" s="59">
        <f>$B$4*(((1+$B$7/12)^12-1)/($B$7/12))</f>
        <v>8964.684443</v>
      </c>
      <c r="C22" s="60">
        <f t="shared" si="1"/>
        <v>0.4268897354</v>
      </c>
      <c r="D22" s="43" t="s">
        <v>290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44" t="s">
        <v>291</v>
      </c>
      <c r="B23" s="45">
        <f>$B$4*(((1+$B$7/12)^13-1)/($B$7/12))</f>
        <v>9770.019485</v>
      </c>
      <c r="C23" s="46">
        <f t="shared" si="1"/>
        <v>0.4652390231</v>
      </c>
      <c r="D23" s="4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44" t="s">
        <v>292</v>
      </c>
      <c r="B24" s="45">
        <f>$B$4*(((1+$B$7/12)^14-1)/($B$7/12))</f>
        <v>10584.81721</v>
      </c>
      <c r="C24" s="46">
        <f t="shared" si="1"/>
        <v>0.504038915</v>
      </c>
      <c r="D24" s="4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44" t="s">
        <v>293</v>
      </c>
      <c r="B25" s="45">
        <f>$B$4*(((1+$B$7/12)^15-1)/($B$7/12))</f>
        <v>11409.18882</v>
      </c>
      <c r="C25" s="46">
        <f t="shared" si="1"/>
        <v>0.5432947055</v>
      </c>
      <c r="D25" s="4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44" t="s">
        <v>294</v>
      </c>
      <c r="B26" s="45">
        <f>$B$4*(((1+$B$7/12)^16-1)/($B$7/12))</f>
        <v>12243.24679</v>
      </c>
      <c r="C26" s="46">
        <f t="shared" si="1"/>
        <v>0.5830117517</v>
      </c>
      <c r="D26" s="4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44" t="s">
        <v>295</v>
      </c>
      <c r="B27" s="45">
        <f>$B$4*(((1+$B$7/12)^17-1)/($B$7/12))</f>
        <v>13087.10493</v>
      </c>
      <c r="C27" s="46">
        <f t="shared" si="1"/>
        <v>0.6231954731</v>
      </c>
      <c r="D27" s="4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8" t="s">
        <v>296</v>
      </c>
      <c r="B28" s="59">
        <f>$B$4*(((1+$B$7/12)^18-1)/($B$7/12))</f>
        <v>13940.87842</v>
      </c>
      <c r="C28" s="60">
        <f t="shared" si="1"/>
        <v>0.6638513532</v>
      </c>
      <c r="D28" s="43" t="s">
        <v>297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44" t="s">
        <v>298</v>
      </c>
      <c r="B29" s="45">
        <f>$B$4*(((1+$B$7/12)^19-1)/($B$7/12))</f>
        <v>14804.68374</v>
      </c>
      <c r="C29" s="46">
        <f t="shared" si="1"/>
        <v>0.70498494</v>
      </c>
      <c r="D29" s="4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44" t="s">
        <v>299</v>
      </c>
      <c r="B30" s="45">
        <f>$B$4*(((1+$B$7/12)^20-1)/($B$7/12))</f>
        <v>15678.63877</v>
      </c>
      <c r="C30" s="46">
        <f t="shared" si="1"/>
        <v>0.7466018463</v>
      </c>
      <c r="D30" s="4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44" t="s">
        <v>300</v>
      </c>
      <c r="B31" s="45">
        <f>$B$4*(((1+$B$7/12)^21-1)/($B$7/12))</f>
        <v>16562.86278</v>
      </c>
      <c r="C31" s="46">
        <f t="shared" si="1"/>
        <v>0.7887077514</v>
      </c>
      <c r="D31" s="4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44" t="s">
        <v>301</v>
      </c>
      <c r="B32" s="45">
        <f>$B$4*(((1+$B$7/12)^22-1)/($B$7/12))</f>
        <v>17457.47642</v>
      </c>
      <c r="C32" s="46">
        <f t="shared" si="1"/>
        <v>0.8313084008</v>
      </c>
      <c r="D32" s="4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44" t="s">
        <v>302</v>
      </c>
      <c r="B33" s="45">
        <f>$B$4*(((1+$B$7/12)^23-1)/($B$7/12))</f>
        <v>18362.60176</v>
      </c>
      <c r="C33" s="46">
        <f t="shared" si="1"/>
        <v>0.8744096078</v>
      </c>
      <c r="D33" s="4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58" t="s">
        <v>303</v>
      </c>
      <c r="B34" s="59">
        <f>$B$4*(((1+$B$7/12)^24-1)/($B$7/12))</f>
        <v>19278.36234</v>
      </c>
      <c r="C34" s="60">
        <f t="shared" si="1"/>
        <v>0.918017254</v>
      </c>
      <c r="D34" s="43" t="s">
        <v>304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44" t="s">
        <v>305</v>
      </c>
      <c r="B35" s="45">
        <f>$B$4*(((1+$B$7/12)^25-1)/($B$7/12))</f>
        <v>20204.88309</v>
      </c>
      <c r="C35" s="46">
        <f t="shared" si="1"/>
        <v>0.9621372901</v>
      </c>
      <c r="D35" s="4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44" t="s">
        <v>306</v>
      </c>
      <c r="B36" s="45">
        <f>$B$4*(((1+$B$7/12)^26-1)/($B$7/12))</f>
        <v>21142.29047</v>
      </c>
      <c r="C36" s="46">
        <f t="shared" si="1"/>
        <v>1.006775737</v>
      </c>
      <c r="D36" s="4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44" t="s">
        <v>307</v>
      </c>
      <c r="B37" s="45">
        <f>$B$4*(((1+$B$7/12)^27-1)/($B$7/12))</f>
        <v>22090.71238</v>
      </c>
      <c r="C37" s="46">
        <f t="shared" si="1"/>
        <v>1.051938685</v>
      </c>
      <c r="D37" s="4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44" t="s">
        <v>308</v>
      </c>
      <c r="B38" s="45">
        <f>$B$4*(((1+$B$7/12)^28-1)/($B$7/12))</f>
        <v>23050.27825</v>
      </c>
      <c r="C38" s="46">
        <f t="shared" si="1"/>
        <v>1.097632298</v>
      </c>
      <c r="D38" s="4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44" t="s">
        <v>309</v>
      </c>
      <c r="B39" s="45">
        <f>$B$4*(((1+$B$7/12)^29-1)/($B$7/12))</f>
        <v>24021.11902</v>
      </c>
      <c r="C39" s="46">
        <f t="shared" si="1"/>
        <v>1.143862811</v>
      </c>
      <c r="D39" s="4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58" t="s">
        <v>310</v>
      </c>
      <c r="B40" s="59">
        <f>$B$4*(((1+$B$7/12)^30-1)/($B$7/12))</f>
        <v>25003.36717</v>
      </c>
      <c r="C40" s="60">
        <f t="shared" si="1"/>
        <v>1.190636532</v>
      </c>
      <c r="D40" s="43" t="s">
        <v>311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44" t="s">
        <v>312</v>
      </c>
      <c r="B41" s="45">
        <f>$B$4*(((1+$B$7/12)^31-1)/($B$7/12))</f>
        <v>25997.15673</v>
      </c>
      <c r="C41" s="46">
        <f t="shared" si="1"/>
        <v>1.237959845</v>
      </c>
      <c r="D41" s="4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44" t="s">
        <v>313</v>
      </c>
      <c r="B42" s="45">
        <f>$B$4*(((1+$B$7/12)^32-1)/($B$7/12))</f>
        <v>27002.62333</v>
      </c>
      <c r="C42" s="46">
        <f t="shared" si="1"/>
        <v>1.285839206</v>
      </c>
      <c r="D42" s="4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44" t="s">
        <v>314</v>
      </c>
      <c r="B43" s="45">
        <f>$B$4*(((1+$B$7/12)^33-1)/($B$7/12))</f>
        <v>28019.90415</v>
      </c>
      <c r="C43" s="46">
        <f t="shared" si="1"/>
        <v>1.33428115</v>
      </c>
      <c r="D43" s="4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44" t="s">
        <v>315</v>
      </c>
      <c r="B44" s="45">
        <f>$B$4*(((1+$B$7/12)^34-1)/($B$7/12))</f>
        <v>29049.13802</v>
      </c>
      <c r="C44" s="46">
        <f t="shared" si="1"/>
        <v>1.383292287</v>
      </c>
      <c r="D44" s="4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44" t="s">
        <v>316</v>
      </c>
      <c r="B45" s="45">
        <f>$B$4*(((1+$B$7/12)^35-1)/($B$7/12))</f>
        <v>30090.4654</v>
      </c>
      <c r="C45" s="46">
        <f t="shared" si="1"/>
        <v>1.432879305</v>
      </c>
      <c r="D45" s="4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58" t="s">
        <v>317</v>
      </c>
      <c r="B46" s="59">
        <f>$B$4*(((1+$B$7/12)^36-1)/($B$7/12))</f>
        <v>31144.02836</v>
      </c>
      <c r="C46" s="60">
        <f t="shared" si="1"/>
        <v>1.48304897</v>
      </c>
      <c r="D46" s="43" t="s">
        <v>318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D1"/>
    <mergeCell ref="A3:D3"/>
    <mergeCell ref="A9:D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32.0"/>
    <col customWidth="1" min="4" max="4" width="16.0"/>
    <col customWidth="1" min="5" max="5" width="30.0"/>
    <col customWidth="1" min="6" max="6" width="16.0"/>
    <col customWidth="1" min="7" max="7" width="3.0"/>
    <col customWidth="1" min="8" max="8" width="16.0"/>
    <col customWidth="1" min="9" max="9" width="22.0"/>
    <col customWidth="1" min="10" max="10" width="16.0"/>
    <col customWidth="1" min="11" max="11" width="8.71"/>
    <col customWidth="1" min="12" max="12" width="32.0"/>
  </cols>
  <sheetData>
    <row r="1" ht="25.5" customHeight="1">
      <c r="A1" s="1" t="s">
        <v>319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9" t="s">
        <v>320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4" t="s">
        <v>321</v>
      </c>
      <c r="B4" s="91">
        <f>'Orçamento Mensal'!B8</f>
        <v>3800</v>
      </c>
      <c r="C4" s="7" t="s">
        <v>322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4" t="s">
        <v>323</v>
      </c>
      <c r="B5" s="91">
        <v>0.0</v>
      </c>
      <c r="C5" s="7" t="s">
        <v>324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4" t="s">
        <v>325</v>
      </c>
      <c r="B6" s="92">
        <f>TODAY()</f>
        <v>46136</v>
      </c>
      <c r="C6" s="7" t="s">
        <v>326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93" t="s">
        <v>327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3" t="s">
        <v>81</v>
      </c>
      <c r="B10" s="13" t="s">
        <v>21</v>
      </c>
      <c r="C10" s="13" t="s">
        <v>83</v>
      </c>
      <c r="D10" s="13" t="s">
        <v>28</v>
      </c>
      <c r="E10" s="13" t="s">
        <v>328</v>
      </c>
      <c r="F10" s="13" t="s">
        <v>329</v>
      </c>
      <c r="G10" s="4"/>
      <c r="H10" s="13" t="s">
        <v>28</v>
      </c>
      <c r="I10" s="13" t="s">
        <v>330</v>
      </c>
      <c r="J10" s="13" t="s">
        <v>329</v>
      </c>
      <c r="K10" s="4"/>
      <c r="L10" s="94" t="s">
        <v>331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4" t="s">
        <v>86</v>
      </c>
      <c r="B11" s="84" t="s">
        <v>25</v>
      </c>
      <c r="C11" s="84" t="s">
        <v>332</v>
      </c>
      <c r="D11" s="84" t="s">
        <v>31</v>
      </c>
      <c r="E11" s="84" t="s">
        <v>32</v>
      </c>
      <c r="F11" s="95">
        <f>'Orçamento Mensal'!B13</f>
        <v>1910</v>
      </c>
      <c r="G11" s="4"/>
      <c r="H11" s="84" t="s">
        <v>333</v>
      </c>
      <c r="I11" s="84" t="s">
        <v>334</v>
      </c>
      <c r="J11" s="95">
        <f>'Orçamento Mensal'!B5</f>
        <v>2200</v>
      </c>
      <c r="K11" s="4"/>
      <c r="L11" s="84" t="s">
        <v>32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4" t="s">
        <v>333</v>
      </c>
      <c r="B12" s="84" t="s">
        <v>26</v>
      </c>
      <c r="C12" s="84" t="s">
        <v>335</v>
      </c>
      <c r="D12" s="84" t="s">
        <v>31</v>
      </c>
      <c r="E12" s="84" t="s">
        <v>33</v>
      </c>
      <c r="F12" s="95">
        <f>'Orçamento Mensal'!B14</f>
        <v>870</v>
      </c>
      <c r="G12" s="4"/>
      <c r="H12" s="84" t="s">
        <v>333</v>
      </c>
      <c r="I12" s="84" t="s">
        <v>336</v>
      </c>
      <c r="J12" s="95">
        <f>'Orçamento Mensal'!B6</f>
        <v>1200</v>
      </c>
      <c r="K12" s="4"/>
      <c r="L12" s="84" t="s">
        <v>33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84" t="s">
        <v>337</v>
      </c>
      <c r="D13" s="84" t="s">
        <v>31</v>
      </c>
      <c r="E13" s="84" t="s">
        <v>34</v>
      </c>
      <c r="F13" s="95">
        <f>'Orçamento Mensal'!B15</f>
        <v>145</v>
      </c>
      <c r="G13" s="4"/>
      <c r="H13" s="84" t="s">
        <v>333</v>
      </c>
      <c r="I13" s="84" t="s">
        <v>338</v>
      </c>
      <c r="J13" s="95">
        <f>'Orçamento Mensal'!B7</f>
        <v>1500</v>
      </c>
      <c r="K13" s="4"/>
      <c r="L13" s="84" t="s">
        <v>34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84" t="s">
        <v>339</v>
      </c>
      <c r="D14" s="84" t="s">
        <v>31</v>
      </c>
      <c r="E14" s="84" t="s">
        <v>35</v>
      </c>
      <c r="F14" s="95">
        <f>'Orçamento Mensal'!B16</f>
        <v>75</v>
      </c>
      <c r="G14" s="4"/>
      <c r="H14" s="84" t="s">
        <v>333</v>
      </c>
      <c r="I14" s="84" t="s">
        <v>97</v>
      </c>
      <c r="J14" s="95">
        <f>'Orçamento Mensal'!B8</f>
        <v>3800</v>
      </c>
      <c r="K14" s="4"/>
      <c r="L14" s="84" t="s">
        <v>35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84" t="s">
        <v>338</v>
      </c>
      <c r="D15" s="84" t="s">
        <v>31</v>
      </c>
      <c r="E15" s="84" t="s">
        <v>36</v>
      </c>
      <c r="F15" s="95">
        <f>'Orçamento Mensal'!B17</f>
        <v>200</v>
      </c>
      <c r="G15" s="4"/>
      <c r="H15" s="84" t="s">
        <v>333</v>
      </c>
      <c r="I15" s="84" t="s">
        <v>340</v>
      </c>
      <c r="J15" s="95">
        <f>0</f>
        <v>0</v>
      </c>
      <c r="K15" s="4"/>
      <c r="L15" s="84" t="s">
        <v>36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84" t="s">
        <v>341</v>
      </c>
      <c r="D16" s="84" t="s">
        <v>37</v>
      </c>
      <c r="E16" s="84" t="s">
        <v>38</v>
      </c>
      <c r="F16" s="95">
        <f>'Orçamento Mensal'!B22</f>
        <v>800</v>
      </c>
      <c r="G16" s="4"/>
      <c r="H16" s="4"/>
      <c r="I16" s="4"/>
      <c r="J16" s="4"/>
      <c r="K16" s="4"/>
      <c r="L16" s="84" t="s">
        <v>38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84" t="s">
        <v>342</v>
      </c>
      <c r="D17" s="84" t="s">
        <v>37</v>
      </c>
      <c r="E17" s="84" t="s">
        <v>39</v>
      </c>
      <c r="F17" s="95">
        <f>'Orçamento Mensal'!B23</f>
        <v>180</v>
      </c>
      <c r="G17" s="4"/>
      <c r="H17" s="4"/>
      <c r="I17" s="4"/>
      <c r="J17" s="4"/>
      <c r="K17" s="4"/>
      <c r="L17" s="84" t="s">
        <v>39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84" t="s">
        <v>343</v>
      </c>
      <c r="D18" s="84" t="s">
        <v>37</v>
      </c>
      <c r="E18" s="84" t="s">
        <v>40</v>
      </c>
      <c r="F18" s="95">
        <f>'Orçamento Mensal'!B24</f>
        <v>250</v>
      </c>
      <c r="G18" s="4"/>
      <c r="H18" s="4"/>
      <c r="I18" s="4"/>
      <c r="J18" s="4"/>
      <c r="K18" s="4"/>
      <c r="L18" s="84" t="s">
        <v>40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84" t="s">
        <v>87</v>
      </c>
      <c r="D19" s="84" t="s">
        <v>37</v>
      </c>
      <c r="E19" s="84" t="s">
        <v>41</v>
      </c>
      <c r="F19" s="95">
        <f>'Orçamento Mensal'!B26</f>
        <v>280</v>
      </c>
      <c r="G19" s="4"/>
      <c r="H19" s="4"/>
      <c r="I19" s="4"/>
      <c r="J19" s="4"/>
      <c r="K19" s="4"/>
      <c r="L19" s="84" t="s">
        <v>41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84" t="s">
        <v>37</v>
      </c>
      <c r="E20" s="84" t="s">
        <v>42</v>
      </c>
      <c r="F20" s="95">
        <f>'Orçamento Mensal'!B27</f>
        <v>150</v>
      </c>
      <c r="G20" s="4"/>
      <c r="H20" s="4"/>
      <c r="I20" s="4"/>
      <c r="J20" s="4"/>
      <c r="K20" s="4"/>
      <c r="L20" s="84" t="s">
        <v>42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84" t="s">
        <v>37</v>
      </c>
      <c r="E21" s="84" t="s">
        <v>43</v>
      </c>
      <c r="F21" s="95">
        <f>'Orçamento Mensal'!B25</f>
        <v>100</v>
      </c>
      <c r="G21" s="4"/>
      <c r="H21" s="4"/>
      <c r="I21" s="4"/>
      <c r="J21" s="4"/>
      <c r="K21" s="4"/>
      <c r="L21" s="84" t="s">
        <v>43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96" t="s">
        <v>37</v>
      </c>
      <c r="E22" s="96" t="s">
        <v>44</v>
      </c>
      <c r="F22" s="97">
        <f>'Orçamento Mensal'!B28</f>
        <v>60</v>
      </c>
      <c r="G22" s="4"/>
      <c r="H22" s="4"/>
      <c r="I22" s="4"/>
      <c r="J22" s="4"/>
      <c r="K22" s="4"/>
      <c r="L22" s="84" t="s">
        <v>44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84" t="s">
        <v>45</v>
      </c>
      <c r="E23" s="84" t="s">
        <v>46</v>
      </c>
      <c r="F23" s="95">
        <f>'Orçamento Mensal'!B33</f>
        <v>100</v>
      </c>
      <c r="G23" s="4"/>
      <c r="H23" s="4"/>
      <c r="I23" s="4"/>
      <c r="J23" s="4"/>
      <c r="K23" s="4"/>
      <c r="L23" s="84" t="s">
        <v>46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84" t="s">
        <v>45</v>
      </c>
      <c r="E24" s="84" t="s">
        <v>47</v>
      </c>
      <c r="F24" s="95">
        <f>'Orçamento Mensal'!B34</f>
        <v>100</v>
      </c>
      <c r="G24" s="4"/>
      <c r="H24" s="4"/>
      <c r="I24" s="4"/>
      <c r="J24" s="4"/>
      <c r="K24" s="4"/>
      <c r="L24" s="84" t="s">
        <v>47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84" t="s">
        <v>45</v>
      </c>
      <c r="E25" s="84" t="s">
        <v>48</v>
      </c>
      <c r="F25" s="95">
        <f>'Orçamento Mensal'!B35</f>
        <v>75</v>
      </c>
      <c r="G25" s="4"/>
      <c r="H25" s="4"/>
      <c r="I25" s="4"/>
      <c r="J25" s="4"/>
      <c r="K25" s="4"/>
      <c r="L25" s="84" t="s">
        <v>48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84" t="s">
        <v>45</v>
      </c>
      <c r="E26" s="84" t="s">
        <v>49</v>
      </c>
      <c r="F26" s="95">
        <f>'Orçamento Mensal'!B36</f>
        <v>28</v>
      </c>
      <c r="G26" s="4"/>
      <c r="H26" s="4"/>
      <c r="I26" s="4"/>
      <c r="J26" s="4"/>
      <c r="K26" s="4"/>
      <c r="L26" s="84" t="s">
        <v>49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84" t="s">
        <v>45</v>
      </c>
      <c r="E27" s="84" t="s">
        <v>50</v>
      </c>
      <c r="F27" s="95">
        <f>'Orçamento Mensal'!B37</f>
        <v>17</v>
      </c>
      <c r="G27" s="4"/>
      <c r="H27" s="4"/>
      <c r="I27" s="4"/>
      <c r="J27" s="4"/>
      <c r="K27" s="4"/>
      <c r="L27" s="84" t="s">
        <v>50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84" t="s">
        <v>51</v>
      </c>
      <c r="E28" s="84" t="s">
        <v>52</v>
      </c>
      <c r="F28" s="95">
        <f>'Orçamento Mensal'!B42</f>
        <v>500</v>
      </c>
      <c r="G28" s="4"/>
      <c r="H28" s="4"/>
      <c r="I28" s="4"/>
      <c r="J28" s="4"/>
      <c r="K28" s="4"/>
      <c r="L28" s="84" t="s">
        <v>52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84" t="s">
        <v>51</v>
      </c>
      <c r="E29" s="84" t="s">
        <v>53</v>
      </c>
      <c r="F29" s="95">
        <f>'Orçamento Mensal'!B43</f>
        <v>170</v>
      </c>
      <c r="G29" s="4"/>
      <c r="H29" s="4"/>
      <c r="I29" s="4"/>
      <c r="J29" s="4"/>
      <c r="K29" s="4"/>
      <c r="L29" s="84" t="s">
        <v>53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84" t="s">
        <v>51</v>
      </c>
      <c r="E30" s="84" t="s">
        <v>54</v>
      </c>
      <c r="F30" s="95">
        <f>'Orçamento Mensal'!B44</f>
        <v>80</v>
      </c>
      <c r="G30" s="4"/>
      <c r="H30" s="4"/>
      <c r="I30" s="4"/>
      <c r="J30" s="4"/>
      <c r="K30" s="4"/>
      <c r="L30" s="84" t="s">
        <v>54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84" t="s">
        <v>51</v>
      </c>
      <c r="E31" s="84" t="s">
        <v>55</v>
      </c>
      <c r="F31" s="95">
        <f>'Orçamento Mensal'!B45</f>
        <v>55</v>
      </c>
      <c r="G31" s="4"/>
      <c r="H31" s="4"/>
      <c r="I31" s="4"/>
      <c r="J31" s="4"/>
      <c r="K31" s="4"/>
      <c r="L31" s="84" t="s">
        <v>55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84" t="s">
        <v>51</v>
      </c>
      <c r="E32" s="84" t="s">
        <v>56</v>
      </c>
      <c r="F32" s="95">
        <f>'Orçamento Mensal'!B46</f>
        <v>60</v>
      </c>
      <c r="G32" s="4"/>
      <c r="H32" s="4"/>
      <c r="I32" s="4"/>
      <c r="J32" s="4"/>
      <c r="K32" s="4"/>
      <c r="L32" s="84" t="s">
        <v>56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84" t="s">
        <v>57</v>
      </c>
      <c r="E33" s="84" t="s">
        <v>58</v>
      </c>
      <c r="F33" s="95">
        <f>'Orçamento Mensal'!B51</f>
        <v>60</v>
      </c>
      <c r="G33" s="4"/>
      <c r="H33" s="4"/>
      <c r="I33" s="4"/>
      <c r="J33" s="4"/>
      <c r="K33" s="4"/>
      <c r="L33" s="84" t="s">
        <v>58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84" t="s">
        <v>57</v>
      </c>
      <c r="E34" s="84" t="s">
        <v>59</v>
      </c>
      <c r="F34" s="95">
        <f>'Orçamento Mensal'!B52</f>
        <v>60</v>
      </c>
      <c r="G34" s="4"/>
      <c r="H34" s="4"/>
      <c r="I34" s="4"/>
      <c r="J34" s="4"/>
      <c r="K34" s="4"/>
      <c r="L34" s="84" t="s">
        <v>59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84" t="s">
        <v>57</v>
      </c>
      <c r="E35" s="84" t="s">
        <v>60</v>
      </c>
      <c r="F35" s="95">
        <f>'Orçamento Mensal'!B53</f>
        <v>120</v>
      </c>
      <c r="G35" s="4"/>
      <c r="H35" s="4"/>
      <c r="I35" s="4"/>
      <c r="J35" s="4"/>
      <c r="K35" s="4"/>
      <c r="L35" s="84" t="s">
        <v>60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84" t="s">
        <v>57</v>
      </c>
      <c r="E36" s="84" t="s">
        <v>61</v>
      </c>
      <c r="F36" s="95">
        <f>'Orçamento Mensal'!B54</f>
        <v>80</v>
      </c>
      <c r="G36" s="4"/>
      <c r="H36" s="4"/>
      <c r="I36" s="4"/>
      <c r="J36" s="4"/>
      <c r="K36" s="4"/>
      <c r="L36" s="84" t="s">
        <v>61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84" t="s">
        <v>57</v>
      </c>
      <c r="E37" s="84" t="s">
        <v>62</v>
      </c>
      <c r="F37" s="95">
        <f>'Orçamento Mensal'!B55</f>
        <v>50</v>
      </c>
      <c r="G37" s="4"/>
      <c r="H37" s="4"/>
      <c r="I37" s="4"/>
      <c r="J37" s="4"/>
      <c r="K37" s="4"/>
      <c r="L37" s="84" t="s">
        <v>62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84" t="s">
        <v>57</v>
      </c>
      <c r="E38" s="84" t="s">
        <v>63</v>
      </c>
      <c r="F38" s="95">
        <f>'Orçamento Mensal'!B56</f>
        <v>120</v>
      </c>
      <c r="G38" s="4"/>
      <c r="H38" s="4"/>
      <c r="I38" s="4"/>
      <c r="J38" s="4"/>
      <c r="K38" s="4"/>
      <c r="L38" s="84" t="s">
        <v>63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84" t="s">
        <v>64</v>
      </c>
      <c r="E39" s="84" t="s">
        <v>65</v>
      </c>
      <c r="F39" s="95">
        <f>'Orçamento Mensal'!B61</f>
        <v>120</v>
      </c>
      <c r="G39" s="4"/>
      <c r="H39" s="4"/>
      <c r="I39" s="4"/>
      <c r="J39" s="4"/>
      <c r="K39" s="4"/>
      <c r="L39" s="84" t="s">
        <v>65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84" t="s">
        <v>64</v>
      </c>
      <c r="E40" s="84" t="s">
        <v>66</v>
      </c>
      <c r="F40" s="95">
        <f>'Orçamento Mensal'!B62</f>
        <v>50</v>
      </c>
      <c r="G40" s="4"/>
      <c r="H40" s="4"/>
      <c r="I40" s="4"/>
      <c r="J40" s="4"/>
      <c r="K40" s="4"/>
      <c r="L40" s="84" t="s">
        <v>66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84" t="s">
        <v>64</v>
      </c>
      <c r="E41" s="84" t="s">
        <v>67</v>
      </c>
      <c r="F41" s="95">
        <f>'Orçamento Mensal'!B63</f>
        <v>60</v>
      </c>
      <c r="G41" s="4"/>
      <c r="H41" s="4"/>
      <c r="I41" s="4"/>
      <c r="J41" s="4"/>
      <c r="K41" s="4"/>
      <c r="L41" s="84" t="s">
        <v>67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84" t="s">
        <v>64</v>
      </c>
      <c r="E42" s="84" t="s">
        <v>68</v>
      </c>
      <c r="F42" s="95">
        <f>'Orçamento Mensal'!B64</f>
        <v>150</v>
      </c>
      <c r="G42" s="4"/>
      <c r="H42" s="4"/>
      <c r="I42" s="4"/>
      <c r="J42" s="4"/>
      <c r="K42" s="4"/>
      <c r="L42" s="84" t="s">
        <v>68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84" t="s">
        <v>64</v>
      </c>
      <c r="E43" s="84" t="s">
        <v>69</v>
      </c>
      <c r="F43" s="95">
        <f>'Orçamento Mensal'!B65</f>
        <v>80</v>
      </c>
      <c r="G43" s="4"/>
      <c r="H43" s="4"/>
      <c r="I43" s="4"/>
      <c r="J43" s="4"/>
      <c r="K43" s="4"/>
      <c r="L43" s="84" t="s">
        <v>69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84" t="s">
        <v>64</v>
      </c>
      <c r="E44" s="84" t="s">
        <v>70</v>
      </c>
      <c r="F44" s="95">
        <f>'Orçamento Mensal'!B66</f>
        <v>100</v>
      </c>
      <c r="G44" s="4"/>
      <c r="H44" s="4"/>
      <c r="I44" s="4"/>
      <c r="J44" s="4"/>
      <c r="K44" s="4"/>
      <c r="L44" s="84" t="s">
        <v>70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84" t="s">
        <v>71</v>
      </c>
      <c r="E45" s="84" t="s">
        <v>72</v>
      </c>
      <c r="F45" s="95">
        <f>'Orçamento Mensal'!B71</f>
        <v>700</v>
      </c>
      <c r="G45" s="4"/>
      <c r="H45" s="4"/>
      <c r="I45" s="4"/>
      <c r="J45" s="4"/>
      <c r="K45" s="4"/>
      <c r="L45" s="84" t="s">
        <v>72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84" t="s">
        <v>71</v>
      </c>
      <c r="E46" s="84" t="s">
        <v>73</v>
      </c>
      <c r="F46" s="95">
        <f>'Orçamento Mensal'!B72</f>
        <v>200</v>
      </c>
      <c r="G46" s="4"/>
      <c r="H46" s="4"/>
      <c r="I46" s="4"/>
      <c r="J46" s="4"/>
      <c r="K46" s="4"/>
      <c r="L46" s="84" t="s">
        <v>73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84" t="s">
        <v>71</v>
      </c>
      <c r="E47" s="84" t="s">
        <v>74</v>
      </c>
      <c r="F47" s="95">
        <f>'Orçamento Mensal'!B73</f>
        <v>0</v>
      </c>
      <c r="G47" s="4"/>
      <c r="H47" s="4"/>
      <c r="I47" s="4"/>
      <c r="J47" s="4"/>
      <c r="K47" s="4"/>
      <c r="L47" s="84" t="s">
        <v>74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84" t="s">
        <v>75</v>
      </c>
      <c r="E48" s="84" t="s">
        <v>76</v>
      </c>
      <c r="F48" s="95">
        <f>0</f>
        <v>0</v>
      </c>
      <c r="G48" s="4"/>
      <c r="H48" s="4"/>
      <c r="I48" s="4"/>
      <c r="J48" s="4"/>
      <c r="K48" s="4"/>
      <c r="L48" s="84" t="s">
        <v>76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84" t="s">
        <v>334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84" t="s">
        <v>336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84" t="s">
        <v>338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84" t="s">
        <v>97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84" t="s">
        <v>340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8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8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8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I1"/>
    <mergeCell ref="A3:D3"/>
    <mergeCell ref="C4:D4"/>
    <mergeCell ref="C5:D5"/>
    <mergeCell ref="C6:D6"/>
  </mergeCells>
  <printOptions/>
  <pageMargins bottom="1.0" footer="0.0" header="0.0" left="0.75" right="0.75" top="1.0"/>
  <pageSetup paperSize="9" orientation="portrait"/>
  <drawing r:id="rId1"/>
</worksheet>
</file>